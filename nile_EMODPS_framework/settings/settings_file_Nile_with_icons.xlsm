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asinsari/Documents/eastern-nile-optimization/nile_EMODPS_framework/settings/"/>
    </mc:Choice>
  </mc:AlternateContent>
  <xr:revisionPtr revIDLastSave="0" documentId="13_ncr:1_{B903FE90-4A72-7844-8F5D-11DA53AEF29A}" xr6:coauthVersionLast="47" xr6:coauthVersionMax="47" xr10:uidLastSave="{00000000-0000-0000-0000-000000000000}"/>
  <bookViews>
    <workbookView xWindow="0" yWindow="500" windowWidth="25600" windowHeight="15500" activeTab="4" xr2:uid="{65B2DD87-E74E-094B-8E0A-FAA834E63631}"/>
  </bookViews>
  <sheets>
    <sheet name="Topology" sheetId="6" r:id="rId1"/>
    <sheet name="Topology (GUI)" sheetId="7" r:id="rId2"/>
    <sheet name="ModelParameters" sheetId="4" r:id="rId3"/>
    <sheet name="ReservoirParameters" sheetId="1" r:id="rId4"/>
    <sheet name="PolicyParameters" sheetId="5" r:id="rId5"/>
    <sheet name="Runtime comparison" sheetId="8" r:id="rId6"/>
    <sheet name="MinMaxRelease" sheetId="9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8" l="1"/>
</calcChain>
</file>

<file path=xl/sharedStrings.xml><?xml version="1.0" encoding="utf-8"?>
<sst xmlns="http://schemas.openxmlformats.org/spreadsheetml/2006/main" count="260" uniqueCount="132">
  <si>
    <t>Simulation Horizon</t>
  </si>
  <si>
    <t>Parameter Name</t>
  </si>
  <si>
    <t>in Python</t>
  </si>
  <si>
    <t>simulation_horizon</t>
  </si>
  <si>
    <t>Value</t>
  </si>
  <si>
    <t>Unit</t>
  </si>
  <si>
    <t>Data Type</t>
  </si>
  <si>
    <t>int</t>
  </si>
  <si>
    <t>months</t>
  </si>
  <si>
    <t>Initial Month</t>
  </si>
  <si>
    <t>Dmnl</t>
  </si>
  <si>
    <t>init_month</t>
  </si>
  <si>
    <t>Initial Total Inflow</t>
  </si>
  <si>
    <t>m3/s</t>
  </si>
  <si>
    <t>inflowTOT00</t>
  </si>
  <si>
    <t>float</t>
  </si>
  <si>
    <t>Number of Days per Month</t>
  </si>
  <si>
    <t>[31, 28, 31, 30, 31, 30, 31, 31, 30, 31, 30, 31]</t>
  </si>
  <si>
    <t>days</t>
  </si>
  <si>
    <t>nu_of_days_per_month</t>
  </si>
  <si>
    <t>np.array</t>
  </si>
  <si>
    <t>Reservoir Name</t>
  </si>
  <si>
    <t>Initial Storage(m3)</t>
  </si>
  <si>
    <t>Max Turbine Flow</t>
  </si>
  <si>
    <t>Efficiency</t>
  </si>
  <si>
    <t>Head Start Level</t>
  </si>
  <si>
    <t>Name</t>
  </si>
  <si>
    <t>Number of Inputs</t>
  </si>
  <si>
    <t>Number of Outputs</t>
  </si>
  <si>
    <t>Max Input</t>
  </si>
  <si>
    <t>Max Output</t>
  </si>
  <si>
    <t>Min Input</t>
  </si>
  <si>
    <t>Min Output</t>
  </si>
  <si>
    <t>Type</t>
  </si>
  <si>
    <t>release</t>
  </si>
  <si>
    <t>Number of RBFs</t>
  </si>
  <si>
    <t>type</t>
  </si>
  <si>
    <t>name</t>
  </si>
  <si>
    <t>n_inputs</t>
  </si>
  <si>
    <t>n_outputs</t>
  </si>
  <si>
    <t>n_structures</t>
  </si>
  <si>
    <t>max_input</t>
  </si>
  <si>
    <t>max_output</t>
  </si>
  <si>
    <t>min_input</t>
  </si>
  <si>
    <t>min_output</t>
  </si>
  <si>
    <t>str</t>
  </si>
  <si>
    <t>ncRBF</t>
  </si>
  <si>
    <t>integration_interval</t>
  </si>
  <si>
    <t>Integration Step Size</t>
  </si>
  <si>
    <t>GERD</t>
  </si>
  <si>
    <t>Sennar</t>
  </si>
  <si>
    <t>HAD</t>
  </si>
  <si>
    <t>Max Capacity</t>
  </si>
  <si>
    <t>Roseires</t>
  </si>
  <si>
    <t>Network ID</t>
  </si>
  <si>
    <t>Catchment</t>
  </si>
  <si>
    <t>BlueNile</t>
  </si>
  <si>
    <t>Outgoing Nodes</t>
  </si>
  <si>
    <t>Reservoir</t>
  </si>
  <si>
    <t>USSennar</t>
  </si>
  <si>
    <t>Gezira</t>
  </si>
  <si>
    <t>Dinder</t>
  </si>
  <si>
    <t>Rahad</t>
  </si>
  <si>
    <t>DSSennar</t>
  </si>
  <si>
    <t>WhiteNile</t>
  </si>
  <si>
    <t>Tamaniat</t>
  </si>
  <si>
    <t>Atbara</t>
  </si>
  <si>
    <t>Hassanab</t>
  </si>
  <si>
    <t>Egypt</t>
  </si>
  <si>
    <t>IrrigationDistrict</t>
  </si>
  <si>
    <t>Delay</t>
  </si>
  <si>
    <t>Hydropower Exists</t>
  </si>
  <si>
    <t>Initial for Delay</t>
  </si>
  <si>
    <t>Merowe</t>
  </si>
  <si>
    <t>Thesis</t>
  </si>
  <si>
    <t>Current study</t>
  </si>
  <si>
    <t>Single simulation runtime on a single core (seconds)</t>
  </si>
  <si>
    <t>Nr. of stochastic hydrology realizations</t>
  </si>
  <si>
    <t>NFEs</t>
  </si>
  <si>
    <t>Optimization seeds</t>
  </si>
  <si>
    <t>Nr. of DelftBlue cores I can use</t>
  </si>
  <si>
    <t>Total run-time (hours)</t>
  </si>
  <si>
    <t>Nr of hours I need for a seed of 500,000 NFE optimization</t>
  </si>
  <si>
    <t>288 5373.8 420.8</t>
  </si>
  <si>
    <t>290 6260.9 468.0</t>
  </si>
  <si>
    <t>292 7247.4 520.9</t>
  </si>
  <si>
    <t>294 8344.7 577.4</t>
  </si>
  <si>
    <t>296 9560.4 638.8</t>
  </si>
  <si>
    <t>298 10904.9 707.5</t>
  </si>
  <si>
    <t>300 12395.5 784.7</t>
  </si>
  <si>
    <t>286 4578.2 374.8</t>
  </si>
  <si>
    <t>302 14051.0 872.9</t>
  </si>
  <si>
    <t>304 15892.6 970.4</t>
  </si>
  <si>
    <t>Important point</t>
  </si>
  <si>
    <t>Relevance min release</t>
  </si>
  <si>
    <t>Relevance max release</t>
  </si>
  <si>
    <t>Level</t>
  </si>
  <si>
    <t>Storage</t>
  </si>
  <si>
    <t>Source</t>
  </si>
  <si>
    <t>Emergency spillway</t>
  </si>
  <si>
    <t>Open spillway</t>
  </si>
  <si>
    <t>Controlled spillway</t>
  </si>
  <si>
    <t>Minimum operating level</t>
  </si>
  <si>
    <t>Penstocks</t>
  </si>
  <si>
    <t>Bottom outlets</t>
  </si>
  <si>
    <t>Wikipedia</t>
  </si>
  <si>
    <t>Ground level</t>
  </si>
  <si>
    <t>Studio Pietrangeli</t>
  </si>
  <si>
    <t>https://www.youtube.com/watch?v=4GDzW8hPOnI</t>
  </si>
  <si>
    <t>Design Hydrology Youtube Channel Calculation</t>
  </si>
  <si>
    <t>max</t>
  </si>
  <si>
    <t>min</t>
  </si>
  <si>
    <t>storage</t>
  </si>
  <si>
    <t>level</t>
  </si>
  <si>
    <t>(Assumption)</t>
  </si>
  <si>
    <t>(interp)</t>
  </si>
  <si>
    <t>(step)</t>
  </si>
  <si>
    <t>hedging_DSSennar</t>
  </si>
  <si>
    <t>[74000000000.0,6095000000.0,579900000.0,15892600000.0,182700000000.0,12,20000.0]</t>
  </si>
  <si>
    <t>[15000.0,15000.0,15000.0,15000.0,15000.0]</t>
  </si>
  <si>
    <t>[0,0,0,0,0,1,0]</t>
  </si>
  <si>
    <t>[0,0,0,0,0,0]</t>
  </si>
  <si>
    <t>Hedge Param Max</t>
  </si>
  <si>
    <t>h_param_max</t>
  </si>
  <si>
    <t>hedging_USSennar</t>
  </si>
  <si>
    <t>hedging_Gezira</t>
  </si>
  <si>
    <t>hedging_Tamaniat</t>
  </si>
  <si>
    <t>hedging_Hassanab</t>
  </si>
  <si>
    <t>None</t>
  </si>
  <si>
    <t>hedge_function</t>
  </si>
  <si>
    <t>[1459.1]</t>
  </si>
  <si>
    <t>hourly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</si>
</sst>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2" borderId="5" applyNumberFormat="0" applyFont="0" applyAlignment="0" applyProtection="0"/>
  </cellStyleXfs>
  <cellXfs count="20">
    <xf numFmtId="0" fontId="0" fillId="0" borderId="0" xfId="0"/>
    <xf numFmtId="0" fontId="2" fillId="0" borderId="0" xfId="0" applyFont="1"/>
    <xf numFmtId="0" fontId="1" fillId="0" borderId="0" xfId="0" applyFont="1"/>
    <xf numFmtId="0" fontId="2" fillId="0" borderId="0" xfId="0" applyFont="1" applyFill="1"/>
    <xf numFmtId="0" fontId="0" fillId="0" borderId="0" xfId="0" applyNumberFormat="1" applyFill="1"/>
    <xf numFmtId="0" fontId="0" fillId="0" borderId="0" xfId="0" applyFill="1"/>
    <xf numFmtId="0" fontId="0" fillId="0" borderId="0" xfId="0" applyBorder="1"/>
    <xf numFmtId="0" fontId="0" fillId="0" borderId="0" xfId="0" applyFont="1" applyBorder="1"/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3" fontId="0" fillId="0" borderId="4" xfId="0" applyNumberFormat="1" applyBorder="1" applyAlignment="1">
      <alignment vertical="center" wrapText="1"/>
    </xf>
    <xf numFmtId="0" fontId="0" fillId="3" borderId="0" xfId="0" applyFill="1"/>
    <xf numFmtId="0" fontId="3" fillId="0" borderId="0" xfId="1"/>
    <xf numFmtId="1" fontId="0" fillId="0" borderId="0" xfId="0" applyNumberFormat="1"/>
    <xf numFmtId="164" fontId="0" fillId="0" borderId="0" xfId="0" applyNumberFormat="1"/>
    <xf numFmtId="0" fontId="0" fillId="0" borderId="0" xfId="0" applyFill="1" applyAlignment="1"/>
    <xf numFmtId="0" fontId="0" fillId="0" borderId="0" xfId="0" applyFont="1"/>
    <xf numFmtId="0" fontId="0" fillId="0" borderId="0" xfId="0" applyBorder="1" applyAlignment="1">
      <alignment horizontal="center"/>
    </xf>
  </cellXfs>
  <cellStyles count="3">
    <cellStyle name="Hyperlink" xfId="1" builtinId="8"/>
    <cellStyle name="Normal" xfId="0" builtinId="0"/>
    <cellStyle name="Note 3" xfId="2" xr:uid="{6C8C9DAC-7A17-6341-8681-EC369AC9C3EF}"/>
  </cellStyles>
  <dxfs count="0"/>
  <tableStyles count="0" defaultTableStyle="TableStyleMedium2" defaultPivotStyle="PivotStyleLight16"/>
  <colors>
    <mruColors>
      <color rgb="FFAA72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262757</xdr:colOff>
      <xdr:row>30</xdr:row>
      <xdr:rowOff>69050</xdr:rowOff>
    </xdr:from>
    <xdr:to>
      <xdr:col>4</xdr:col>
      <xdr:colOff>557561</xdr:colOff>
      <xdr:row>30</xdr:row>
      <xdr:rowOff>69695</xdr:rowOff>
    </xdr:to>
    <xdr:cxnSp macro="">
      <xdr:nvCxnSpPr>
        <xdr:cNvPr id="8" name="Connector">
          <a:extLst>
            <a:ext uri="{FF2B5EF4-FFF2-40B4-BE49-F238E27FC236}">
              <a16:creationId xmlns:a16="http://schemas.microsoft.com/office/drawing/2014/main" id="{403C2D94-94FE-580F-7B83-1E5C2ACA71D7}"/>
            </a:ext>
          </a:extLst>
        </xdr:cNvPr>
        <xdr:cNvCxnSpPr/>
      </xdr:nvCxnSpPr>
      <xdr:spPr>
        <a:xfrm>
          <a:off x="1656659" y="6341611"/>
          <a:ext cx="1688707" cy="64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267827</xdr:colOff>
      <xdr:row>20</xdr:row>
      <xdr:rowOff>151423</xdr:rowOff>
    </xdr:from>
    <xdr:to>
      <xdr:col>4</xdr:col>
      <xdr:colOff>657138</xdr:colOff>
      <xdr:row>27</xdr:row>
      <xdr:rowOff>82884</xdr:rowOff>
    </xdr:to>
    <xdr:grpSp>
      <xdr:nvGrpSpPr>
        <xdr:cNvPr id="69" name="IrrigationDistrict">
          <a:extLst>
            <a:ext uri="{FF2B5EF4-FFF2-40B4-BE49-F238E27FC236}">
              <a16:creationId xmlns:a16="http://schemas.microsoft.com/office/drawing/2014/main" id="{3C9B57BC-49A6-6F27-7A44-1EC0953B337A}"/>
            </a:ext>
          </a:extLst>
        </xdr:cNvPr>
        <xdr:cNvGrpSpPr/>
      </xdr:nvGrpSpPr>
      <xdr:grpSpPr>
        <a:xfrm>
          <a:off x="1622494" y="4384756"/>
          <a:ext cx="1743977" cy="1413128"/>
          <a:chOff x="10746686" y="4286250"/>
          <a:chExt cx="1739348" cy="1387337"/>
        </a:xfrm>
      </xdr:grpSpPr>
      <xdr:sp macro="" textlink="">
        <xdr:nvSpPr>
          <xdr:cNvPr id="66" name="Name">
            <a:extLst>
              <a:ext uri="{FF2B5EF4-FFF2-40B4-BE49-F238E27FC236}">
                <a16:creationId xmlns:a16="http://schemas.microsoft.com/office/drawing/2014/main" id="{AA2E8125-23F7-3CAC-CFDA-E16346A3D698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/>
              <a:t>x</a:t>
            </a:r>
            <a:r>
              <a:rPr lang="tr-TR" sz="2000"/>
              <a:t>.</a:t>
            </a:r>
            <a:r>
              <a:rPr lang="tr-TR" sz="2000" baseline="0"/>
              <a:t> </a:t>
            </a:r>
            <a:r>
              <a:rPr lang="en-US" sz="2000" baseline="0"/>
              <a:t>Name</a:t>
            </a:r>
            <a:endParaRPr lang="en-US" sz="2000"/>
          </a:p>
        </xdr:txBody>
      </xdr:sp>
      <xdr:pic>
        <xdr:nvPicPr>
          <xdr:cNvPr id="68" name="Icon" descr="Crops with solid fill">
            <a:extLst>
              <a:ext uri="{FF2B5EF4-FFF2-40B4-BE49-F238E27FC236}">
                <a16:creationId xmlns:a16="http://schemas.microsoft.com/office/drawing/2014/main" id="{997E85E6-595A-79CA-30A1-CB10A5CC27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221363</xdr:colOff>
      <xdr:row>5</xdr:row>
      <xdr:rowOff>17632</xdr:rowOff>
    </xdr:from>
    <xdr:to>
      <xdr:col>4</xdr:col>
      <xdr:colOff>610674</xdr:colOff>
      <xdr:row>11</xdr:row>
      <xdr:rowOff>158179</xdr:rowOff>
    </xdr:to>
    <xdr:grpSp>
      <xdr:nvGrpSpPr>
        <xdr:cNvPr id="23" name="Reservoir">
          <a:extLst>
            <a:ext uri="{FF2B5EF4-FFF2-40B4-BE49-F238E27FC236}">
              <a16:creationId xmlns:a16="http://schemas.microsoft.com/office/drawing/2014/main" id="{F189DEF0-89BF-520B-B46A-AF0E9D068297}"/>
            </a:ext>
          </a:extLst>
        </xdr:cNvPr>
        <xdr:cNvGrpSpPr/>
      </xdr:nvGrpSpPr>
      <xdr:grpSpPr>
        <a:xfrm>
          <a:off x="1576030" y="1075965"/>
          <a:ext cx="1743977" cy="1410547"/>
          <a:chOff x="8363415" y="5854390"/>
          <a:chExt cx="1783214" cy="1395059"/>
        </a:xfrm>
      </xdr:grpSpPr>
      <xdr:sp macro="" textlink="">
        <xdr:nvSpPr>
          <xdr:cNvPr id="19" name="Name">
            <a:extLst>
              <a:ext uri="{FF2B5EF4-FFF2-40B4-BE49-F238E27FC236}">
                <a16:creationId xmlns:a16="http://schemas.microsoft.com/office/drawing/2014/main" id="{F93A1F8F-9626-625F-9F9F-347044F6889E}"/>
              </a:ext>
            </a:extLst>
          </xdr:cNvPr>
          <xdr:cNvSpPr/>
        </xdr:nvSpPr>
        <xdr:spPr>
          <a:xfrm>
            <a:off x="8363415" y="5854390"/>
            <a:ext cx="1783214" cy="1395059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/>
              <a:t>x</a:t>
            </a:r>
            <a:r>
              <a:rPr lang="tr-TR" sz="2000"/>
              <a:t>.</a:t>
            </a:r>
            <a:r>
              <a:rPr lang="tr-TR" sz="2000" baseline="0"/>
              <a:t> </a:t>
            </a:r>
            <a:r>
              <a:rPr lang="en-US" sz="2000" baseline="0"/>
              <a:t>Name</a:t>
            </a:r>
            <a:endParaRPr lang="en-US" sz="2000"/>
          </a:p>
        </xdr:txBody>
      </xdr:sp>
      <xdr:sp macro="" textlink="">
        <xdr:nvSpPr>
          <xdr:cNvPr id="22" name="Icon">
            <a:extLst>
              <a:ext uri="{FF2B5EF4-FFF2-40B4-BE49-F238E27FC236}">
                <a16:creationId xmlns:a16="http://schemas.microsoft.com/office/drawing/2014/main" id="{41ECB5FF-CAD8-41A8-A682-38F1DAE0E904}"/>
              </a:ext>
            </a:extLst>
          </xdr:cNvPr>
          <xdr:cNvSpPr/>
        </xdr:nvSpPr>
        <xdr:spPr>
          <a:xfrm>
            <a:off x="8797822" y="6226097"/>
            <a:ext cx="914400" cy="82296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244595</xdr:colOff>
      <xdr:row>13</xdr:row>
      <xdr:rowOff>1</xdr:rowOff>
    </xdr:from>
    <xdr:to>
      <xdr:col>4</xdr:col>
      <xdr:colOff>633906</xdr:colOff>
      <xdr:row>19</xdr:row>
      <xdr:rowOff>140548</xdr:rowOff>
    </xdr:to>
    <xdr:grpSp>
      <xdr:nvGrpSpPr>
        <xdr:cNvPr id="27" name="Catchment">
          <a:extLst>
            <a:ext uri="{FF2B5EF4-FFF2-40B4-BE49-F238E27FC236}">
              <a16:creationId xmlns:a16="http://schemas.microsoft.com/office/drawing/2014/main" id="{BE699615-CA02-43D6-91A2-4815B273D22E}"/>
            </a:ext>
          </a:extLst>
        </xdr:cNvPr>
        <xdr:cNvGrpSpPr/>
      </xdr:nvGrpSpPr>
      <xdr:grpSpPr>
        <a:xfrm>
          <a:off x="1599262" y="2751668"/>
          <a:ext cx="1743977" cy="1410547"/>
          <a:chOff x="10746686" y="4286250"/>
          <a:chExt cx="1739348" cy="1387337"/>
        </a:xfrm>
      </xdr:grpSpPr>
      <xdr:sp macro="" textlink="">
        <xdr:nvSpPr>
          <xdr:cNvPr id="29" name="Name">
            <a:extLst>
              <a:ext uri="{FF2B5EF4-FFF2-40B4-BE49-F238E27FC236}">
                <a16:creationId xmlns:a16="http://schemas.microsoft.com/office/drawing/2014/main" id="{3AA51CB0-1482-FAB5-4684-B5CCAFF91DEF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  <a:ln>
            <a:solidFill>
              <a:srgbClr val="AA72D4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/>
              <a:t>x</a:t>
            </a:r>
            <a:r>
              <a:rPr lang="tr-TR" sz="2000"/>
              <a:t>.</a:t>
            </a:r>
            <a:r>
              <a:rPr lang="tr-TR" sz="2000" baseline="0"/>
              <a:t> </a:t>
            </a:r>
            <a:r>
              <a:rPr lang="en-US" sz="2000" baseline="0"/>
              <a:t>Name</a:t>
            </a:r>
            <a:endParaRPr lang="en-US" sz="2000"/>
          </a:p>
        </xdr:txBody>
      </xdr:sp>
      <xdr:pic>
        <xdr:nvPicPr>
          <xdr:cNvPr id="30" name="Icon" descr="Chevron arrows with solid fill">
            <a:extLst>
              <a:ext uri="{FF2B5EF4-FFF2-40B4-BE49-F238E27FC236}">
                <a16:creationId xmlns:a16="http://schemas.microsoft.com/office/drawing/2014/main" id="{3FF333A9-E291-ABF8-CA83-C3FE5A2994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190286" y="4617555"/>
            <a:ext cx="896871" cy="9144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7219</xdr:colOff>
      <xdr:row>45</xdr:row>
      <xdr:rowOff>57574</xdr:rowOff>
    </xdr:from>
    <xdr:to>
      <xdr:col>28</xdr:col>
      <xdr:colOff>386699</xdr:colOff>
      <xdr:row>51</xdr:row>
      <xdr:rowOff>193874</xdr:rowOff>
    </xdr:to>
    <xdr:grpSp>
      <xdr:nvGrpSpPr>
        <xdr:cNvPr id="39" name="IrrigationDistrict">
          <a:extLst>
            <a:ext uri="{FF2B5EF4-FFF2-40B4-BE49-F238E27FC236}">
              <a16:creationId xmlns:a16="http://schemas.microsoft.com/office/drawing/2014/main" id="{45A8A945-7256-4E03-B913-99669BBE11D5}"/>
            </a:ext>
          </a:extLst>
        </xdr:cNvPr>
        <xdr:cNvGrpSpPr/>
      </xdr:nvGrpSpPr>
      <xdr:grpSpPr>
        <a:xfrm>
          <a:off x="17617886" y="9582574"/>
          <a:ext cx="1734146" cy="1406300"/>
          <a:chOff x="10746686" y="4286250"/>
          <a:chExt cx="1739348" cy="1387337"/>
        </a:xfrm>
      </xdr:grpSpPr>
      <xdr:sp macro="" textlink="">
        <xdr:nvSpPr>
          <xdr:cNvPr id="40" name="Name">
            <a:extLst>
              <a:ext uri="{FF2B5EF4-FFF2-40B4-BE49-F238E27FC236}">
                <a16:creationId xmlns:a16="http://schemas.microsoft.com/office/drawing/2014/main" id="{0B4049F9-CAC3-A271-79AD-866F0C31E110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15. Egypt</a:t>
            </a:r>
            <a:endParaRPr lang="en-US" sz="2000"/>
          </a:p>
        </xdr:txBody>
      </xdr:sp>
      <xdr:pic>
        <xdr:nvPicPr>
          <xdr:cNvPr id="42" name="Icon" descr="Crops with solid fill">
            <a:extLst>
              <a:ext uri="{FF2B5EF4-FFF2-40B4-BE49-F238E27FC236}">
                <a16:creationId xmlns:a16="http://schemas.microsoft.com/office/drawing/2014/main" id="{86415A0B-7716-603C-254D-98C231904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17455</xdr:colOff>
      <xdr:row>4</xdr:row>
      <xdr:rowOff>101291</xdr:rowOff>
    </xdr:from>
    <xdr:to>
      <xdr:col>11</xdr:col>
      <xdr:colOff>395616</xdr:colOff>
      <xdr:row>11</xdr:row>
      <xdr:rowOff>32752</xdr:rowOff>
    </xdr:to>
    <xdr:grpSp>
      <xdr:nvGrpSpPr>
        <xdr:cNvPr id="43" name="Catchment">
          <a:extLst>
            <a:ext uri="{FF2B5EF4-FFF2-40B4-BE49-F238E27FC236}">
              <a16:creationId xmlns:a16="http://schemas.microsoft.com/office/drawing/2014/main" id="{630740D3-4C7A-48C3-8EE2-863488B9420D}"/>
            </a:ext>
          </a:extLst>
        </xdr:cNvPr>
        <xdr:cNvGrpSpPr/>
      </xdr:nvGrpSpPr>
      <xdr:grpSpPr>
        <a:xfrm>
          <a:off x="6113455" y="947958"/>
          <a:ext cx="1732828" cy="1413127"/>
          <a:chOff x="10746686" y="4286250"/>
          <a:chExt cx="1739348" cy="1387337"/>
        </a:xfrm>
      </xdr:grpSpPr>
      <xdr:sp macro="" textlink="">
        <xdr:nvSpPr>
          <xdr:cNvPr id="44" name="Name">
            <a:extLst>
              <a:ext uri="{FF2B5EF4-FFF2-40B4-BE49-F238E27FC236}">
                <a16:creationId xmlns:a16="http://schemas.microsoft.com/office/drawing/2014/main" id="{1A4B3938-588E-BE17-F0CE-18C51DD30DE9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  <a:ln>
            <a:solidFill>
              <a:srgbClr val="AA72D4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0. BlueNile</a:t>
            </a:r>
            <a:endParaRPr lang="en-US" sz="2000"/>
          </a:p>
        </xdr:txBody>
      </xdr:sp>
      <xdr:pic>
        <xdr:nvPicPr>
          <xdr:cNvPr id="45" name="Icon" descr="Chevron arrows with solid fill">
            <a:extLst>
              <a:ext uri="{FF2B5EF4-FFF2-40B4-BE49-F238E27FC236}">
                <a16:creationId xmlns:a16="http://schemas.microsoft.com/office/drawing/2014/main" id="{F18833FB-E273-D936-7031-798CE313BE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190286" y="4617555"/>
            <a:ext cx="896871" cy="9144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25196</xdr:colOff>
      <xdr:row>4</xdr:row>
      <xdr:rowOff>180052</xdr:rowOff>
    </xdr:from>
    <xdr:to>
      <xdr:col>16</xdr:col>
      <xdr:colOff>414507</xdr:colOff>
      <xdr:row>11</xdr:row>
      <xdr:rowOff>115761</xdr:rowOff>
    </xdr:to>
    <xdr:grpSp>
      <xdr:nvGrpSpPr>
        <xdr:cNvPr id="2" name="Reservoir">
          <a:extLst>
            <a:ext uri="{FF2B5EF4-FFF2-40B4-BE49-F238E27FC236}">
              <a16:creationId xmlns:a16="http://schemas.microsoft.com/office/drawing/2014/main" id="{E16028F5-E3F1-4995-BB35-95594B2EE5DB}"/>
            </a:ext>
          </a:extLst>
        </xdr:cNvPr>
        <xdr:cNvGrpSpPr/>
      </xdr:nvGrpSpPr>
      <xdr:grpSpPr>
        <a:xfrm>
          <a:off x="9507863" y="1026719"/>
          <a:ext cx="1743977" cy="1417375"/>
          <a:chOff x="8363415" y="5854390"/>
          <a:chExt cx="1783214" cy="1395059"/>
        </a:xfrm>
      </xdr:grpSpPr>
      <xdr:sp macro="" textlink="">
        <xdr:nvSpPr>
          <xdr:cNvPr id="3" name="Name">
            <a:extLst>
              <a:ext uri="{FF2B5EF4-FFF2-40B4-BE49-F238E27FC236}">
                <a16:creationId xmlns:a16="http://schemas.microsoft.com/office/drawing/2014/main" id="{B9DA33CF-04C9-F625-C31C-8328E52A3A13}"/>
              </a:ext>
            </a:extLst>
          </xdr:cNvPr>
          <xdr:cNvSpPr/>
        </xdr:nvSpPr>
        <xdr:spPr>
          <a:xfrm>
            <a:off x="8363415" y="5854390"/>
            <a:ext cx="1783214" cy="1395059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1. GERD</a:t>
            </a:r>
            <a:endParaRPr lang="en-US" sz="2000"/>
          </a:p>
        </xdr:txBody>
      </xdr:sp>
      <xdr:sp macro="" textlink="">
        <xdr:nvSpPr>
          <xdr:cNvPr id="4" name="Icon">
            <a:extLst>
              <a:ext uri="{FF2B5EF4-FFF2-40B4-BE49-F238E27FC236}">
                <a16:creationId xmlns:a16="http://schemas.microsoft.com/office/drawing/2014/main" id="{CA923B42-0E11-90BF-9514-2331C91955D2}"/>
              </a:ext>
            </a:extLst>
          </xdr:cNvPr>
          <xdr:cNvSpPr/>
        </xdr:nvSpPr>
        <xdr:spPr>
          <a:xfrm>
            <a:off x="8797822" y="6226097"/>
            <a:ext cx="914400" cy="82296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247650</xdr:colOff>
      <xdr:row>31</xdr:row>
      <xdr:rowOff>190500</xdr:rowOff>
    </xdr:from>
    <xdr:to>
      <xdr:col>4</xdr:col>
      <xdr:colOff>457200</xdr:colOff>
      <xdr:row>33</xdr:row>
      <xdr:rowOff>0</xdr:rowOff>
    </xdr:to>
    <xdr:cxnSp macro="">
      <xdr:nvCxnSpPr>
        <xdr:cNvPr id="7" name="Connector: Curved 6">
          <a:extLst>
            <a:ext uri="{FF2B5EF4-FFF2-40B4-BE49-F238E27FC236}">
              <a16:creationId xmlns:a16="http://schemas.microsoft.com/office/drawing/2014/main" id="{97A59631-6730-FE1C-0C2B-80F9C31953FA}"/>
            </a:ext>
          </a:extLst>
        </xdr:cNvPr>
        <xdr:cNvCxnSpPr/>
      </xdr:nvCxnSpPr>
      <xdr:spPr>
        <a:xfrm>
          <a:off x="1619250" y="6686550"/>
          <a:ext cx="1581150" cy="228600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323850</xdr:colOff>
      <xdr:row>34</xdr:row>
      <xdr:rowOff>133350</xdr:rowOff>
    </xdr:from>
    <xdr:to>
      <xdr:col>4</xdr:col>
      <xdr:colOff>476250</xdr:colOff>
      <xdr:row>35</xdr:row>
      <xdr:rowOff>133350</xdr:rowOff>
    </xdr:to>
    <xdr:cxnSp macro="">
      <xdr:nvCxnSpPr>
        <xdr:cNvPr id="15" name="Connector: Elbow 14">
          <a:extLst>
            <a:ext uri="{FF2B5EF4-FFF2-40B4-BE49-F238E27FC236}">
              <a16:creationId xmlns:a16="http://schemas.microsoft.com/office/drawing/2014/main" id="{39971E7B-2A77-1461-561B-5D0D3ABC891C}"/>
            </a:ext>
          </a:extLst>
        </xdr:cNvPr>
        <xdr:cNvCxnSpPr/>
      </xdr:nvCxnSpPr>
      <xdr:spPr>
        <a:xfrm flipV="1">
          <a:off x="1695450" y="7258050"/>
          <a:ext cx="1524000" cy="209550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395616</xdr:colOff>
      <xdr:row>7</xdr:row>
      <xdr:rowOff>169441</xdr:rowOff>
    </xdr:from>
    <xdr:to>
      <xdr:col>14</xdr:col>
      <xdr:colOff>25196</xdr:colOff>
      <xdr:row>8</xdr:row>
      <xdr:rowOff>45487</xdr:rowOff>
    </xdr:to>
    <xdr:cxnSp macro="">
      <xdr:nvCxnSpPr>
        <xdr:cNvPr id="16" name="Connector">
          <a:extLst>
            <a:ext uri="{FF2B5EF4-FFF2-40B4-BE49-F238E27FC236}">
              <a16:creationId xmlns:a16="http://schemas.microsoft.com/office/drawing/2014/main" id="{22D41C7F-4BC0-479C-822D-3FAC495EC4A1}"/>
            </a:ext>
          </a:extLst>
        </xdr:cNvPr>
        <xdr:cNvCxnSpPr>
          <a:stCxn id="44" idx="3"/>
          <a:endCxn id="3" idx="1"/>
        </xdr:cNvCxnSpPr>
      </xdr:nvCxnSpPr>
      <xdr:spPr>
        <a:xfrm>
          <a:off x="7831261" y="1603312"/>
          <a:ext cx="1657483" cy="8088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414507</xdr:colOff>
      <xdr:row>8</xdr:row>
      <xdr:rowOff>45487</xdr:rowOff>
    </xdr:from>
    <xdr:to>
      <xdr:col>20</xdr:col>
      <xdr:colOff>456789</xdr:colOff>
      <xdr:row>9</xdr:row>
      <xdr:rowOff>731</xdr:rowOff>
    </xdr:to>
    <xdr:cxnSp macro="">
      <xdr:nvCxnSpPr>
        <xdr:cNvPr id="25" name="Connector">
          <a:extLst>
            <a:ext uri="{FF2B5EF4-FFF2-40B4-BE49-F238E27FC236}">
              <a16:creationId xmlns:a16="http://schemas.microsoft.com/office/drawing/2014/main" id="{00468C1D-D96E-4969-9B66-4A3C4A7F8E17}"/>
            </a:ext>
          </a:extLst>
        </xdr:cNvPr>
        <xdr:cNvCxnSpPr>
          <a:stCxn id="3" idx="3"/>
          <a:endCxn id="32" idx="1"/>
        </xdr:cNvCxnSpPr>
      </xdr:nvCxnSpPr>
      <xdr:spPr>
        <a:xfrm>
          <a:off x="11229991" y="1684197"/>
          <a:ext cx="2746153" cy="16008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456789</xdr:colOff>
      <xdr:row>5</xdr:row>
      <xdr:rowOff>137651</xdr:rowOff>
    </xdr:from>
    <xdr:to>
      <xdr:col>23</xdr:col>
      <xdr:colOff>170133</xdr:colOff>
      <xdr:row>12</xdr:row>
      <xdr:rowOff>68648</xdr:rowOff>
    </xdr:to>
    <xdr:grpSp>
      <xdr:nvGrpSpPr>
        <xdr:cNvPr id="31" name="Reservoir">
          <a:extLst>
            <a:ext uri="{FF2B5EF4-FFF2-40B4-BE49-F238E27FC236}">
              <a16:creationId xmlns:a16="http://schemas.microsoft.com/office/drawing/2014/main" id="{25698CCD-84C0-4EF3-B567-E39830FDA3F3}"/>
            </a:ext>
          </a:extLst>
        </xdr:cNvPr>
        <xdr:cNvGrpSpPr/>
      </xdr:nvGrpSpPr>
      <xdr:grpSpPr>
        <a:xfrm>
          <a:off x="14003456" y="1195984"/>
          <a:ext cx="1745344" cy="1412664"/>
          <a:chOff x="8363415" y="5854390"/>
          <a:chExt cx="1783214" cy="1395059"/>
        </a:xfrm>
      </xdr:grpSpPr>
      <xdr:sp macro="" textlink="">
        <xdr:nvSpPr>
          <xdr:cNvPr id="32" name="Name">
            <a:extLst>
              <a:ext uri="{FF2B5EF4-FFF2-40B4-BE49-F238E27FC236}">
                <a16:creationId xmlns:a16="http://schemas.microsoft.com/office/drawing/2014/main" id="{463F92D8-0F1E-2027-7C8C-DA3854CEC848}"/>
              </a:ext>
            </a:extLst>
          </xdr:cNvPr>
          <xdr:cNvSpPr/>
        </xdr:nvSpPr>
        <xdr:spPr>
          <a:xfrm>
            <a:off x="8363415" y="5854390"/>
            <a:ext cx="1783214" cy="1395059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2. Roseires</a:t>
            </a:r>
            <a:endParaRPr lang="en-US" sz="2000"/>
          </a:p>
        </xdr:txBody>
      </xdr:sp>
      <xdr:sp macro="" textlink="">
        <xdr:nvSpPr>
          <xdr:cNvPr id="34" name="Icon">
            <a:extLst>
              <a:ext uri="{FF2B5EF4-FFF2-40B4-BE49-F238E27FC236}">
                <a16:creationId xmlns:a16="http://schemas.microsoft.com/office/drawing/2014/main" id="{686CF8B7-0713-86F6-4E27-8E3A359A5FA2}"/>
              </a:ext>
            </a:extLst>
          </xdr:cNvPr>
          <xdr:cNvSpPr/>
        </xdr:nvSpPr>
        <xdr:spPr>
          <a:xfrm>
            <a:off x="8797822" y="6226097"/>
            <a:ext cx="914400" cy="82296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23</xdr:col>
      <xdr:colOff>170133</xdr:colOff>
      <xdr:row>9</xdr:row>
      <xdr:rowOff>731</xdr:rowOff>
    </xdr:from>
    <xdr:to>
      <xdr:col>26</xdr:col>
      <xdr:colOff>384892</xdr:colOff>
      <xdr:row>9</xdr:row>
      <xdr:rowOff>66204</xdr:rowOff>
    </xdr:to>
    <xdr:cxnSp macro="">
      <xdr:nvCxnSpPr>
        <xdr:cNvPr id="53" name="Connector">
          <a:extLst>
            <a:ext uri="{FF2B5EF4-FFF2-40B4-BE49-F238E27FC236}">
              <a16:creationId xmlns:a16="http://schemas.microsoft.com/office/drawing/2014/main" id="{F321CB75-C6FA-4CD8-9087-4971F31C7ADC}"/>
            </a:ext>
          </a:extLst>
        </xdr:cNvPr>
        <xdr:cNvCxnSpPr>
          <a:stCxn id="32" idx="3"/>
          <a:endCxn id="58" idx="1"/>
        </xdr:cNvCxnSpPr>
      </xdr:nvCxnSpPr>
      <xdr:spPr>
        <a:xfrm>
          <a:off x="15717391" y="1844279"/>
          <a:ext cx="2242662" cy="6547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384892</xdr:colOff>
      <xdr:row>5</xdr:row>
      <xdr:rowOff>200536</xdr:rowOff>
    </xdr:from>
    <xdr:to>
      <xdr:col>29</xdr:col>
      <xdr:colOff>98236</xdr:colOff>
      <xdr:row>12</xdr:row>
      <xdr:rowOff>136708</xdr:rowOff>
    </xdr:to>
    <xdr:grpSp>
      <xdr:nvGrpSpPr>
        <xdr:cNvPr id="57" name="IrrigationDistrict">
          <a:extLst>
            <a:ext uri="{FF2B5EF4-FFF2-40B4-BE49-F238E27FC236}">
              <a16:creationId xmlns:a16="http://schemas.microsoft.com/office/drawing/2014/main" id="{1F6CF33E-E9CA-426A-9D28-57F69F65463E}"/>
            </a:ext>
          </a:extLst>
        </xdr:cNvPr>
        <xdr:cNvGrpSpPr/>
      </xdr:nvGrpSpPr>
      <xdr:grpSpPr>
        <a:xfrm>
          <a:off x="17995559" y="1258869"/>
          <a:ext cx="1745344" cy="1417839"/>
          <a:chOff x="10746686" y="4286250"/>
          <a:chExt cx="1739348" cy="1387337"/>
        </a:xfrm>
      </xdr:grpSpPr>
      <xdr:sp macro="" textlink="">
        <xdr:nvSpPr>
          <xdr:cNvPr id="58" name="Name">
            <a:extLst>
              <a:ext uri="{FF2B5EF4-FFF2-40B4-BE49-F238E27FC236}">
                <a16:creationId xmlns:a16="http://schemas.microsoft.com/office/drawing/2014/main" id="{43E8F2DD-6E0B-4A69-730F-F02F8329AB94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3. USSennar</a:t>
            </a:r>
            <a:endParaRPr lang="en-US" sz="2000"/>
          </a:p>
        </xdr:txBody>
      </xdr:sp>
      <xdr:pic>
        <xdr:nvPicPr>
          <xdr:cNvPr id="59" name="Icon" descr="Crops with solid fill">
            <a:extLst>
              <a:ext uri="{FF2B5EF4-FFF2-40B4-BE49-F238E27FC236}">
                <a16:creationId xmlns:a16="http://schemas.microsoft.com/office/drawing/2014/main" id="{5A7DB7EF-7D2D-02E0-4AA1-0B4511FDA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280014</xdr:colOff>
      <xdr:row>19</xdr:row>
      <xdr:rowOff>2</xdr:rowOff>
    </xdr:from>
    <xdr:to>
      <xdr:col>13</xdr:col>
      <xdr:colOff>659493</xdr:colOff>
      <xdr:row>25</xdr:row>
      <xdr:rowOff>140548</xdr:rowOff>
    </xdr:to>
    <xdr:grpSp>
      <xdr:nvGrpSpPr>
        <xdr:cNvPr id="63" name="Reservoir">
          <a:extLst>
            <a:ext uri="{FF2B5EF4-FFF2-40B4-BE49-F238E27FC236}">
              <a16:creationId xmlns:a16="http://schemas.microsoft.com/office/drawing/2014/main" id="{99C19DCC-6CBE-4497-8EE1-67BAB15A5BC5}"/>
            </a:ext>
          </a:extLst>
        </xdr:cNvPr>
        <xdr:cNvGrpSpPr/>
      </xdr:nvGrpSpPr>
      <xdr:grpSpPr>
        <a:xfrm>
          <a:off x="7730681" y="4021669"/>
          <a:ext cx="1734145" cy="1410546"/>
          <a:chOff x="8363415" y="5854390"/>
          <a:chExt cx="1783214" cy="1395059"/>
        </a:xfrm>
      </xdr:grpSpPr>
      <xdr:sp macro="" textlink="">
        <xdr:nvSpPr>
          <xdr:cNvPr id="64" name="Name">
            <a:extLst>
              <a:ext uri="{FF2B5EF4-FFF2-40B4-BE49-F238E27FC236}">
                <a16:creationId xmlns:a16="http://schemas.microsoft.com/office/drawing/2014/main" id="{2C5DF63B-C6AF-39AA-6BCF-A53613DC7AEB}"/>
              </a:ext>
            </a:extLst>
          </xdr:cNvPr>
          <xdr:cNvSpPr/>
        </xdr:nvSpPr>
        <xdr:spPr>
          <a:xfrm>
            <a:off x="8363415" y="5854390"/>
            <a:ext cx="1783214" cy="1395059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4.</a:t>
            </a:r>
            <a:r>
              <a:rPr lang="tr-TR" sz="2000" baseline="0"/>
              <a:t> Sennar</a:t>
            </a:r>
            <a:endParaRPr lang="en-US" sz="2000"/>
          </a:p>
        </xdr:txBody>
      </xdr:sp>
      <xdr:sp macro="" textlink="">
        <xdr:nvSpPr>
          <xdr:cNvPr id="65" name="Icon">
            <a:extLst>
              <a:ext uri="{FF2B5EF4-FFF2-40B4-BE49-F238E27FC236}">
                <a16:creationId xmlns:a16="http://schemas.microsoft.com/office/drawing/2014/main" id="{1245635D-5230-6F32-32AE-D638E3431380}"/>
              </a:ext>
            </a:extLst>
          </xdr:cNvPr>
          <xdr:cNvSpPr/>
        </xdr:nvSpPr>
        <xdr:spPr>
          <a:xfrm>
            <a:off x="8797822" y="6226097"/>
            <a:ext cx="914400" cy="82296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17</xdr:col>
      <xdr:colOff>60426</xdr:colOff>
      <xdr:row>19</xdr:row>
      <xdr:rowOff>196235</xdr:rowOff>
    </xdr:from>
    <xdr:to>
      <xdr:col>19</xdr:col>
      <xdr:colOff>449739</xdr:colOff>
      <xdr:row>26</xdr:row>
      <xdr:rowOff>127696</xdr:rowOff>
    </xdr:to>
    <xdr:grpSp>
      <xdr:nvGrpSpPr>
        <xdr:cNvPr id="78" name="IrrigationDistrict">
          <a:extLst>
            <a:ext uri="{FF2B5EF4-FFF2-40B4-BE49-F238E27FC236}">
              <a16:creationId xmlns:a16="http://schemas.microsoft.com/office/drawing/2014/main" id="{3189AB3A-E1D1-4C23-ADC8-D687E85FFE62}"/>
            </a:ext>
          </a:extLst>
        </xdr:cNvPr>
        <xdr:cNvGrpSpPr/>
      </xdr:nvGrpSpPr>
      <xdr:grpSpPr>
        <a:xfrm>
          <a:off x="11575093" y="4217902"/>
          <a:ext cx="1743979" cy="1413127"/>
          <a:chOff x="10746686" y="4286250"/>
          <a:chExt cx="1739348" cy="1387337"/>
        </a:xfrm>
      </xdr:grpSpPr>
      <xdr:sp macro="" textlink="">
        <xdr:nvSpPr>
          <xdr:cNvPr id="79" name="Name">
            <a:extLst>
              <a:ext uri="{FF2B5EF4-FFF2-40B4-BE49-F238E27FC236}">
                <a16:creationId xmlns:a16="http://schemas.microsoft.com/office/drawing/2014/main" id="{32329F7F-21CB-1AD4-9136-3BD08B744FE8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5. Gezira</a:t>
            </a:r>
            <a:endParaRPr lang="en-US" sz="2000"/>
          </a:p>
        </xdr:txBody>
      </xdr:sp>
      <xdr:pic>
        <xdr:nvPicPr>
          <xdr:cNvPr id="80" name="Icon" descr="Crops with solid fill">
            <a:extLst>
              <a:ext uri="{FF2B5EF4-FFF2-40B4-BE49-F238E27FC236}">
                <a16:creationId xmlns:a16="http://schemas.microsoft.com/office/drawing/2014/main" id="{EC0523FA-EF12-91B0-B5CF-35509B40A8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659493</xdr:colOff>
      <xdr:row>22</xdr:row>
      <xdr:rowOff>70275</xdr:rowOff>
    </xdr:from>
    <xdr:to>
      <xdr:col>17</xdr:col>
      <xdr:colOff>60426</xdr:colOff>
      <xdr:row>23</xdr:row>
      <xdr:rowOff>59546</xdr:rowOff>
    </xdr:to>
    <xdr:cxnSp macro="">
      <xdr:nvCxnSpPr>
        <xdr:cNvPr id="81" name="Connector">
          <a:extLst>
            <a:ext uri="{FF2B5EF4-FFF2-40B4-BE49-F238E27FC236}">
              <a16:creationId xmlns:a16="http://schemas.microsoft.com/office/drawing/2014/main" id="{04EF0F33-BF4F-49F6-BF07-ED67455F2355}"/>
            </a:ext>
          </a:extLst>
        </xdr:cNvPr>
        <xdr:cNvCxnSpPr>
          <a:stCxn id="64" idx="3"/>
          <a:endCxn id="79" idx="1"/>
        </xdr:cNvCxnSpPr>
      </xdr:nvCxnSpPr>
      <xdr:spPr>
        <a:xfrm>
          <a:off x="9447074" y="4576727"/>
          <a:ext cx="2104804" cy="19410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211394</xdr:colOff>
      <xdr:row>19</xdr:row>
      <xdr:rowOff>99552</xdr:rowOff>
    </xdr:from>
    <xdr:to>
      <xdr:col>25</xdr:col>
      <xdr:colOff>579722</xdr:colOff>
      <xdr:row>26</xdr:row>
      <xdr:rowOff>35724</xdr:rowOff>
    </xdr:to>
    <xdr:grpSp>
      <xdr:nvGrpSpPr>
        <xdr:cNvPr id="84" name="Catchment">
          <a:extLst>
            <a:ext uri="{FF2B5EF4-FFF2-40B4-BE49-F238E27FC236}">
              <a16:creationId xmlns:a16="http://schemas.microsoft.com/office/drawing/2014/main" id="{AC68FF1B-9B37-40DB-BB2F-6ACF800D5C1D}"/>
            </a:ext>
          </a:extLst>
        </xdr:cNvPr>
        <xdr:cNvGrpSpPr/>
      </xdr:nvGrpSpPr>
      <xdr:grpSpPr>
        <a:xfrm>
          <a:off x="15790061" y="4121219"/>
          <a:ext cx="1722994" cy="1417838"/>
          <a:chOff x="10746686" y="4286250"/>
          <a:chExt cx="1739348" cy="1387337"/>
        </a:xfrm>
      </xdr:grpSpPr>
      <xdr:sp macro="" textlink="">
        <xdr:nvSpPr>
          <xdr:cNvPr id="85" name="Name">
            <a:extLst>
              <a:ext uri="{FF2B5EF4-FFF2-40B4-BE49-F238E27FC236}">
                <a16:creationId xmlns:a16="http://schemas.microsoft.com/office/drawing/2014/main" id="{EEBDC039-5154-DEFF-E29D-7B840F39DB51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  <a:ln>
            <a:solidFill>
              <a:srgbClr val="AA72D4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800"/>
              <a:t>6. Dinder</a:t>
            </a:r>
            <a:endParaRPr lang="en-US" sz="1800"/>
          </a:p>
        </xdr:txBody>
      </xdr:sp>
      <xdr:pic>
        <xdr:nvPicPr>
          <xdr:cNvPr id="86" name="Icon" descr="Chevron arrows with solid fill">
            <a:extLst>
              <a:ext uri="{FF2B5EF4-FFF2-40B4-BE49-F238E27FC236}">
                <a16:creationId xmlns:a16="http://schemas.microsoft.com/office/drawing/2014/main" id="{9B140C45-FB27-D1F3-B9AC-340CC5D57E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171349" y="4636456"/>
            <a:ext cx="896871" cy="914400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449739</xdr:colOff>
      <xdr:row>22</xdr:row>
      <xdr:rowOff>170057</xdr:rowOff>
    </xdr:from>
    <xdr:to>
      <xdr:col>23</xdr:col>
      <xdr:colOff>211394</xdr:colOff>
      <xdr:row>23</xdr:row>
      <xdr:rowOff>59546</xdr:rowOff>
    </xdr:to>
    <xdr:cxnSp macro="">
      <xdr:nvCxnSpPr>
        <xdr:cNvPr id="87" name="Connector">
          <a:extLst>
            <a:ext uri="{FF2B5EF4-FFF2-40B4-BE49-F238E27FC236}">
              <a16:creationId xmlns:a16="http://schemas.microsoft.com/office/drawing/2014/main" id="{F2BE9FAB-0DD4-41F4-9332-626046F0649F}"/>
            </a:ext>
          </a:extLst>
        </xdr:cNvPr>
        <xdr:cNvCxnSpPr>
          <a:stCxn id="79" idx="3"/>
          <a:endCxn id="85" idx="1"/>
        </xdr:cNvCxnSpPr>
      </xdr:nvCxnSpPr>
      <xdr:spPr>
        <a:xfrm flipV="1">
          <a:off x="13293126" y="4676509"/>
          <a:ext cx="2465526" cy="9432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31</xdr:row>
      <xdr:rowOff>114300</xdr:rowOff>
    </xdr:from>
    <xdr:to>
      <xdr:col>12</xdr:col>
      <xdr:colOff>416260</xdr:colOff>
      <xdr:row>38</xdr:row>
      <xdr:rowOff>45761</xdr:rowOff>
    </xdr:to>
    <xdr:grpSp>
      <xdr:nvGrpSpPr>
        <xdr:cNvPr id="92" name="Catchment">
          <a:extLst>
            <a:ext uri="{FF2B5EF4-FFF2-40B4-BE49-F238E27FC236}">
              <a16:creationId xmlns:a16="http://schemas.microsoft.com/office/drawing/2014/main" id="{7E1501B8-88D8-4F0E-B921-24251D76F218}"/>
            </a:ext>
          </a:extLst>
        </xdr:cNvPr>
        <xdr:cNvGrpSpPr/>
      </xdr:nvGrpSpPr>
      <xdr:grpSpPr>
        <a:xfrm>
          <a:off x="6811433" y="6675967"/>
          <a:ext cx="1732827" cy="1413127"/>
          <a:chOff x="10746686" y="4286250"/>
          <a:chExt cx="1739348" cy="1387337"/>
        </a:xfrm>
      </xdr:grpSpPr>
      <xdr:sp macro="" textlink="">
        <xdr:nvSpPr>
          <xdr:cNvPr id="93" name="Name">
            <a:extLst>
              <a:ext uri="{FF2B5EF4-FFF2-40B4-BE49-F238E27FC236}">
                <a16:creationId xmlns:a16="http://schemas.microsoft.com/office/drawing/2014/main" id="{A2EC6085-91C0-B5F2-E81B-2F125CDA1C0C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  <a:ln>
            <a:solidFill>
              <a:srgbClr val="AA72D4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800"/>
              <a:t>7. Rahad</a:t>
            </a:r>
            <a:endParaRPr lang="en-US" sz="1800"/>
          </a:p>
        </xdr:txBody>
      </xdr:sp>
      <xdr:pic>
        <xdr:nvPicPr>
          <xdr:cNvPr id="94" name="Icon" descr="Chevron arrows with solid fill">
            <a:extLst>
              <a:ext uri="{FF2B5EF4-FFF2-40B4-BE49-F238E27FC236}">
                <a16:creationId xmlns:a16="http://schemas.microsoft.com/office/drawing/2014/main" id="{070B031A-78AF-39E0-53D9-7009501A8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171349" y="4636456"/>
            <a:ext cx="896871" cy="9144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190500</xdr:colOff>
      <xdr:row>32</xdr:row>
      <xdr:rowOff>57150</xdr:rowOff>
    </xdr:from>
    <xdr:to>
      <xdr:col>16</xdr:col>
      <xdr:colOff>579812</xdr:colOff>
      <xdr:row>38</xdr:row>
      <xdr:rowOff>198161</xdr:rowOff>
    </xdr:to>
    <xdr:grpSp>
      <xdr:nvGrpSpPr>
        <xdr:cNvPr id="95" name="IrrigationDistrict">
          <a:extLst>
            <a:ext uri="{FF2B5EF4-FFF2-40B4-BE49-F238E27FC236}">
              <a16:creationId xmlns:a16="http://schemas.microsoft.com/office/drawing/2014/main" id="{952DFC32-15DC-4894-B158-4C28189DD5A5}"/>
            </a:ext>
          </a:extLst>
        </xdr:cNvPr>
        <xdr:cNvGrpSpPr/>
      </xdr:nvGrpSpPr>
      <xdr:grpSpPr>
        <a:xfrm>
          <a:off x="9673167" y="6830483"/>
          <a:ext cx="1743978" cy="1411011"/>
          <a:chOff x="10746686" y="4286250"/>
          <a:chExt cx="1739348" cy="1387337"/>
        </a:xfrm>
      </xdr:grpSpPr>
      <xdr:sp macro="" textlink="">
        <xdr:nvSpPr>
          <xdr:cNvPr id="96" name="Name">
            <a:extLst>
              <a:ext uri="{FF2B5EF4-FFF2-40B4-BE49-F238E27FC236}">
                <a16:creationId xmlns:a16="http://schemas.microsoft.com/office/drawing/2014/main" id="{96146A97-A56E-36E8-DDAD-78A0E10442DC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8. DSSennar</a:t>
            </a:r>
            <a:endParaRPr lang="en-US" sz="2000"/>
          </a:p>
        </xdr:txBody>
      </xdr:sp>
      <xdr:pic>
        <xdr:nvPicPr>
          <xdr:cNvPr id="97" name="Icon" descr="Crops with solid fill">
            <a:extLst>
              <a:ext uri="{FF2B5EF4-FFF2-40B4-BE49-F238E27FC236}">
                <a16:creationId xmlns:a16="http://schemas.microsoft.com/office/drawing/2014/main" id="{ABBC35AC-9556-892A-E007-3265E33936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381000</xdr:colOff>
      <xdr:row>32</xdr:row>
      <xdr:rowOff>152400</xdr:rowOff>
    </xdr:from>
    <xdr:to>
      <xdr:col>21</xdr:col>
      <xdr:colOff>73360</xdr:colOff>
      <xdr:row>39</xdr:row>
      <xdr:rowOff>83861</xdr:rowOff>
    </xdr:to>
    <xdr:grpSp>
      <xdr:nvGrpSpPr>
        <xdr:cNvPr id="98" name="Catchment">
          <a:extLst>
            <a:ext uri="{FF2B5EF4-FFF2-40B4-BE49-F238E27FC236}">
              <a16:creationId xmlns:a16="http://schemas.microsoft.com/office/drawing/2014/main" id="{73A5ACB6-599E-4A27-904C-C4F4D082606B}"/>
            </a:ext>
          </a:extLst>
        </xdr:cNvPr>
        <xdr:cNvGrpSpPr/>
      </xdr:nvGrpSpPr>
      <xdr:grpSpPr>
        <a:xfrm>
          <a:off x="12573000" y="6925733"/>
          <a:ext cx="1724360" cy="1413128"/>
          <a:chOff x="10746686" y="4286250"/>
          <a:chExt cx="1739348" cy="1387337"/>
        </a:xfrm>
      </xdr:grpSpPr>
      <xdr:sp macro="" textlink="">
        <xdr:nvSpPr>
          <xdr:cNvPr id="99" name="Name">
            <a:extLst>
              <a:ext uri="{FF2B5EF4-FFF2-40B4-BE49-F238E27FC236}">
                <a16:creationId xmlns:a16="http://schemas.microsoft.com/office/drawing/2014/main" id="{7924A20A-45E5-1C5C-6BC2-5E2F74623012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  <a:ln>
            <a:solidFill>
              <a:srgbClr val="AA72D4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9.</a:t>
            </a:r>
            <a:r>
              <a:rPr lang="tr-TR" sz="2000" baseline="0"/>
              <a:t> WhiteNile</a:t>
            </a:r>
            <a:endParaRPr lang="en-US" sz="2000"/>
          </a:p>
        </xdr:txBody>
      </xdr:sp>
      <xdr:pic>
        <xdr:nvPicPr>
          <xdr:cNvPr id="100" name="Icon" descr="Chevron arrows with solid fill">
            <a:extLst>
              <a:ext uri="{FF2B5EF4-FFF2-40B4-BE49-F238E27FC236}">
                <a16:creationId xmlns:a16="http://schemas.microsoft.com/office/drawing/2014/main" id="{FC4217F2-0D9E-4432-75F2-8BE4E0D117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190286" y="4617555"/>
            <a:ext cx="896871" cy="9144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227180</xdr:colOff>
      <xdr:row>26</xdr:row>
      <xdr:rowOff>35725</xdr:rowOff>
    </xdr:from>
    <xdr:to>
      <xdr:col>24</xdr:col>
      <xdr:colOff>395558</xdr:colOff>
      <xdr:row>31</xdr:row>
      <xdr:rowOff>114301</xdr:rowOff>
    </xdr:to>
    <xdr:cxnSp macro="">
      <xdr:nvCxnSpPr>
        <xdr:cNvPr id="101" name="Connector: Curved 100">
          <a:extLst>
            <a:ext uri="{FF2B5EF4-FFF2-40B4-BE49-F238E27FC236}">
              <a16:creationId xmlns:a16="http://schemas.microsoft.com/office/drawing/2014/main" id="{CB732939-07EF-4F51-9EC3-38C21B10705C}"/>
            </a:ext>
          </a:extLst>
        </xdr:cNvPr>
        <xdr:cNvCxnSpPr>
          <a:stCxn id="85" idx="2"/>
          <a:endCxn id="93" idx="0"/>
        </xdr:cNvCxnSpPr>
      </xdr:nvCxnSpPr>
      <xdr:spPr>
        <a:xfrm rot="5400000">
          <a:off x="11589420" y="1434936"/>
          <a:ext cx="1102770" cy="8955959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416260</xdr:colOff>
      <xdr:row>34</xdr:row>
      <xdr:rowOff>184806</xdr:rowOff>
    </xdr:from>
    <xdr:to>
      <xdr:col>14</xdr:col>
      <xdr:colOff>190500</xdr:colOff>
      <xdr:row>35</xdr:row>
      <xdr:rowOff>127656</xdr:rowOff>
    </xdr:to>
    <xdr:cxnSp macro="">
      <xdr:nvCxnSpPr>
        <xdr:cNvPr id="104" name="Connector">
          <a:extLst>
            <a:ext uri="{FF2B5EF4-FFF2-40B4-BE49-F238E27FC236}">
              <a16:creationId xmlns:a16="http://schemas.microsoft.com/office/drawing/2014/main" id="{755D19A9-F4E4-4D2B-90AF-BA400F7393C1}"/>
            </a:ext>
          </a:extLst>
        </xdr:cNvPr>
        <xdr:cNvCxnSpPr>
          <a:stCxn id="93" idx="3"/>
          <a:endCxn id="96" idx="1"/>
        </xdr:cNvCxnSpPr>
      </xdr:nvCxnSpPr>
      <xdr:spPr>
        <a:xfrm>
          <a:off x="7274260" y="7309506"/>
          <a:ext cx="1145840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579812</xdr:colOff>
      <xdr:row>35</xdr:row>
      <xdr:rowOff>127656</xdr:rowOff>
    </xdr:from>
    <xdr:to>
      <xdr:col>18</xdr:col>
      <xdr:colOff>381000</xdr:colOff>
      <xdr:row>36</xdr:row>
      <xdr:rowOff>13356</xdr:rowOff>
    </xdr:to>
    <xdr:cxnSp macro="">
      <xdr:nvCxnSpPr>
        <xdr:cNvPr id="107" name="Connector">
          <a:extLst>
            <a:ext uri="{FF2B5EF4-FFF2-40B4-BE49-F238E27FC236}">
              <a16:creationId xmlns:a16="http://schemas.microsoft.com/office/drawing/2014/main" id="{DCBB8677-9367-43E7-8C26-5AD166AC8D2F}"/>
            </a:ext>
          </a:extLst>
        </xdr:cNvPr>
        <xdr:cNvCxnSpPr>
          <a:stCxn id="96" idx="3"/>
          <a:endCxn id="99" idx="1"/>
        </xdr:cNvCxnSpPr>
      </xdr:nvCxnSpPr>
      <xdr:spPr>
        <a:xfrm>
          <a:off x="10181012" y="7461906"/>
          <a:ext cx="1172788" cy="952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514350</xdr:colOff>
      <xdr:row>33</xdr:row>
      <xdr:rowOff>19050</xdr:rowOff>
    </xdr:from>
    <xdr:to>
      <xdr:col>25</xdr:col>
      <xdr:colOff>217862</xdr:colOff>
      <xdr:row>39</xdr:row>
      <xdr:rowOff>160061</xdr:rowOff>
    </xdr:to>
    <xdr:grpSp>
      <xdr:nvGrpSpPr>
        <xdr:cNvPr id="110" name="IrrigationDistrict">
          <a:extLst>
            <a:ext uri="{FF2B5EF4-FFF2-40B4-BE49-F238E27FC236}">
              <a16:creationId xmlns:a16="http://schemas.microsoft.com/office/drawing/2014/main" id="{AF06831E-37C4-496D-8FAD-5148CB712A20}"/>
            </a:ext>
          </a:extLst>
        </xdr:cNvPr>
        <xdr:cNvGrpSpPr/>
      </xdr:nvGrpSpPr>
      <xdr:grpSpPr>
        <a:xfrm>
          <a:off x="15415683" y="7004050"/>
          <a:ext cx="1735512" cy="1411011"/>
          <a:chOff x="10746686" y="4286250"/>
          <a:chExt cx="1739348" cy="1387337"/>
        </a:xfrm>
      </xdr:grpSpPr>
      <xdr:sp macro="" textlink="">
        <xdr:nvSpPr>
          <xdr:cNvPr id="111" name="Name">
            <a:extLst>
              <a:ext uri="{FF2B5EF4-FFF2-40B4-BE49-F238E27FC236}">
                <a16:creationId xmlns:a16="http://schemas.microsoft.com/office/drawing/2014/main" id="{E7D75B43-9E64-0BAA-C994-AD824A3F04CE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10. Tamaniat</a:t>
            </a:r>
            <a:endParaRPr lang="en-US" sz="2000"/>
          </a:p>
        </xdr:txBody>
      </xdr:sp>
      <xdr:pic>
        <xdr:nvPicPr>
          <xdr:cNvPr id="112" name="Icon" descr="Crops with solid fill">
            <a:extLst>
              <a:ext uri="{FF2B5EF4-FFF2-40B4-BE49-F238E27FC236}">
                <a16:creationId xmlns:a16="http://schemas.microsoft.com/office/drawing/2014/main" id="{C829ABBC-06C0-9761-F50E-4D6CC596A0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73360</xdr:colOff>
      <xdr:row>36</xdr:row>
      <xdr:rowOff>13356</xdr:rowOff>
    </xdr:from>
    <xdr:to>
      <xdr:col>22</xdr:col>
      <xdr:colOff>514350</xdr:colOff>
      <xdr:row>36</xdr:row>
      <xdr:rowOff>89556</xdr:rowOff>
    </xdr:to>
    <xdr:cxnSp macro="">
      <xdr:nvCxnSpPr>
        <xdr:cNvPr id="113" name="Connector">
          <a:extLst>
            <a:ext uri="{FF2B5EF4-FFF2-40B4-BE49-F238E27FC236}">
              <a16:creationId xmlns:a16="http://schemas.microsoft.com/office/drawing/2014/main" id="{2A233E89-F907-4CFA-9A85-357CDD1FA4DD}"/>
            </a:ext>
          </a:extLst>
        </xdr:cNvPr>
        <xdr:cNvCxnSpPr>
          <a:stCxn id="99" idx="3"/>
          <a:endCxn id="111" idx="1"/>
        </xdr:cNvCxnSpPr>
      </xdr:nvCxnSpPr>
      <xdr:spPr>
        <a:xfrm>
          <a:off x="13103560" y="7557156"/>
          <a:ext cx="1126790" cy="762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419100</xdr:colOff>
      <xdr:row>33</xdr:row>
      <xdr:rowOff>95250</xdr:rowOff>
    </xdr:from>
    <xdr:to>
      <xdr:col>29</xdr:col>
      <xdr:colOff>111460</xdr:colOff>
      <xdr:row>40</xdr:row>
      <xdr:rowOff>26711</xdr:rowOff>
    </xdr:to>
    <xdr:grpSp>
      <xdr:nvGrpSpPr>
        <xdr:cNvPr id="116" name="Catchment">
          <a:extLst>
            <a:ext uri="{FF2B5EF4-FFF2-40B4-BE49-F238E27FC236}">
              <a16:creationId xmlns:a16="http://schemas.microsoft.com/office/drawing/2014/main" id="{7013B5CF-9881-4B81-9622-7FDAA2DB3EE8}"/>
            </a:ext>
          </a:extLst>
        </xdr:cNvPr>
        <xdr:cNvGrpSpPr/>
      </xdr:nvGrpSpPr>
      <xdr:grpSpPr>
        <a:xfrm>
          <a:off x="18029767" y="7080250"/>
          <a:ext cx="1724360" cy="1413128"/>
          <a:chOff x="10746686" y="4286250"/>
          <a:chExt cx="1739348" cy="1387337"/>
        </a:xfrm>
      </xdr:grpSpPr>
      <xdr:sp macro="" textlink="">
        <xdr:nvSpPr>
          <xdr:cNvPr id="117" name="Name">
            <a:extLst>
              <a:ext uri="{FF2B5EF4-FFF2-40B4-BE49-F238E27FC236}">
                <a16:creationId xmlns:a16="http://schemas.microsoft.com/office/drawing/2014/main" id="{D4F0E6B2-60DD-B2BD-CB7A-C5B215C5740F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  <a:ln>
            <a:solidFill>
              <a:srgbClr val="AA72D4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800"/>
              <a:t>11.</a:t>
            </a:r>
            <a:r>
              <a:rPr lang="tr-TR" sz="1800" baseline="0"/>
              <a:t> Atbara</a:t>
            </a:r>
            <a:endParaRPr lang="en-US" sz="1800"/>
          </a:p>
        </xdr:txBody>
      </xdr:sp>
      <xdr:pic>
        <xdr:nvPicPr>
          <xdr:cNvPr id="118" name="Icon" descr="Chevron arrows with solid fill">
            <a:extLst>
              <a:ext uri="{FF2B5EF4-FFF2-40B4-BE49-F238E27FC236}">
                <a16:creationId xmlns:a16="http://schemas.microsoft.com/office/drawing/2014/main" id="{7BF98C46-41D3-D4C9-4027-391A6FA67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171349" y="4636456"/>
            <a:ext cx="896871" cy="914400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217862</xdr:colOff>
      <xdr:row>36</xdr:row>
      <xdr:rowOff>89556</xdr:rowOff>
    </xdr:from>
    <xdr:to>
      <xdr:col>26</xdr:col>
      <xdr:colOff>419100</xdr:colOff>
      <xdr:row>36</xdr:row>
      <xdr:rowOff>165756</xdr:rowOff>
    </xdr:to>
    <xdr:cxnSp macro="">
      <xdr:nvCxnSpPr>
        <xdr:cNvPr id="119" name="Connector">
          <a:extLst>
            <a:ext uri="{FF2B5EF4-FFF2-40B4-BE49-F238E27FC236}">
              <a16:creationId xmlns:a16="http://schemas.microsoft.com/office/drawing/2014/main" id="{AE208B53-FBD0-4595-9880-DC29DA233750}"/>
            </a:ext>
          </a:extLst>
        </xdr:cNvPr>
        <xdr:cNvCxnSpPr>
          <a:stCxn id="111" idx="3"/>
          <a:endCxn id="117" idx="1"/>
        </xdr:cNvCxnSpPr>
      </xdr:nvCxnSpPr>
      <xdr:spPr>
        <a:xfrm>
          <a:off x="15991262" y="7633356"/>
          <a:ext cx="887038" cy="762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96683</xdr:colOff>
      <xdr:row>44</xdr:row>
      <xdr:rowOff>109999</xdr:rowOff>
    </xdr:from>
    <xdr:to>
      <xdr:col>13</xdr:col>
      <xdr:colOff>485995</xdr:colOff>
      <xdr:row>51</xdr:row>
      <xdr:rowOff>41460</xdr:rowOff>
    </xdr:to>
    <xdr:grpSp>
      <xdr:nvGrpSpPr>
        <xdr:cNvPr id="122" name="IrrigationDistrict">
          <a:extLst>
            <a:ext uri="{FF2B5EF4-FFF2-40B4-BE49-F238E27FC236}">
              <a16:creationId xmlns:a16="http://schemas.microsoft.com/office/drawing/2014/main" id="{742D1244-FAFA-41D0-A17F-189B8696E31C}"/>
            </a:ext>
          </a:extLst>
        </xdr:cNvPr>
        <xdr:cNvGrpSpPr/>
      </xdr:nvGrpSpPr>
      <xdr:grpSpPr>
        <a:xfrm>
          <a:off x="7547350" y="9423332"/>
          <a:ext cx="1743978" cy="1413128"/>
          <a:chOff x="10746686" y="4286250"/>
          <a:chExt cx="1739348" cy="1387337"/>
        </a:xfrm>
      </xdr:grpSpPr>
      <xdr:sp macro="" textlink="">
        <xdr:nvSpPr>
          <xdr:cNvPr id="123" name="Name">
            <a:extLst>
              <a:ext uri="{FF2B5EF4-FFF2-40B4-BE49-F238E27FC236}">
                <a16:creationId xmlns:a16="http://schemas.microsoft.com/office/drawing/2014/main" id="{4A739B04-9778-6B60-8523-9C5F1DB83B71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12. Hassanab</a:t>
            </a:r>
            <a:endParaRPr lang="en-US" sz="2000"/>
          </a:p>
        </xdr:txBody>
      </xdr:sp>
      <xdr:pic>
        <xdr:nvPicPr>
          <xdr:cNvPr id="124" name="Icon" descr="Crops with solid fill">
            <a:extLst>
              <a:ext uri="{FF2B5EF4-FFF2-40B4-BE49-F238E27FC236}">
                <a16:creationId xmlns:a16="http://schemas.microsoft.com/office/drawing/2014/main" id="{4D320D23-34C0-8B97-8D3F-12D238A2C5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602020</xdr:colOff>
      <xdr:row>45</xdr:row>
      <xdr:rowOff>79068</xdr:rowOff>
    </xdr:from>
    <xdr:to>
      <xdr:col>23</xdr:col>
      <xdr:colOff>305532</xdr:colOff>
      <xdr:row>52</xdr:row>
      <xdr:rowOff>14776</xdr:rowOff>
    </xdr:to>
    <xdr:grpSp>
      <xdr:nvGrpSpPr>
        <xdr:cNvPr id="125" name="Reservoir">
          <a:extLst>
            <a:ext uri="{FF2B5EF4-FFF2-40B4-BE49-F238E27FC236}">
              <a16:creationId xmlns:a16="http://schemas.microsoft.com/office/drawing/2014/main" id="{D62BACE9-2835-4683-AA21-03A43A6C4480}"/>
            </a:ext>
          </a:extLst>
        </xdr:cNvPr>
        <xdr:cNvGrpSpPr/>
      </xdr:nvGrpSpPr>
      <xdr:grpSpPr>
        <a:xfrm>
          <a:off x="14148687" y="9604068"/>
          <a:ext cx="1735512" cy="1417375"/>
          <a:chOff x="8363415" y="5854390"/>
          <a:chExt cx="1783214" cy="1395059"/>
        </a:xfrm>
      </xdr:grpSpPr>
      <xdr:sp macro="" textlink="">
        <xdr:nvSpPr>
          <xdr:cNvPr id="126" name="Name">
            <a:extLst>
              <a:ext uri="{FF2B5EF4-FFF2-40B4-BE49-F238E27FC236}">
                <a16:creationId xmlns:a16="http://schemas.microsoft.com/office/drawing/2014/main" id="{C08112DB-C761-A586-7679-FAF5F9005706}"/>
              </a:ext>
            </a:extLst>
          </xdr:cNvPr>
          <xdr:cNvSpPr/>
        </xdr:nvSpPr>
        <xdr:spPr>
          <a:xfrm>
            <a:off x="8363415" y="5854390"/>
            <a:ext cx="1783214" cy="1395059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14. HAD</a:t>
            </a:r>
            <a:endParaRPr lang="en-US" sz="2000"/>
          </a:p>
        </xdr:txBody>
      </xdr:sp>
      <xdr:sp macro="" textlink="">
        <xdr:nvSpPr>
          <xdr:cNvPr id="127" name="Icon">
            <a:extLst>
              <a:ext uri="{FF2B5EF4-FFF2-40B4-BE49-F238E27FC236}">
                <a16:creationId xmlns:a16="http://schemas.microsoft.com/office/drawing/2014/main" id="{8A60022C-5C6B-0279-8BB1-1792468B9981}"/>
              </a:ext>
            </a:extLst>
          </xdr:cNvPr>
          <xdr:cNvSpPr/>
        </xdr:nvSpPr>
        <xdr:spPr>
          <a:xfrm>
            <a:off x="8797822" y="6226097"/>
            <a:ext cx="914400" cy="82296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291340</xdr:colOff>
      <xdr:row>40</xdr:row>
      <xdr:rowOff>26711</xdr:rowOff>
    </xdr:from>
    <xdr:to>
      <xdr:col>27</xdr:col>
      <xdr:colOff>603265</xdr:colOff>
      <xdr:row>44</xdr:row>
      <xdr:rowOff>109999</xdr:rowOff>
    </xdr:to>
    <xdr:cxnSp macro="">
      <xdr:nvCxnSpPr>
        <xdr:cNvPr id="128" name="Connector: Curved 127">
          <a:extLst>
            <a:ext uri="{FF2B5EF4-FFF2-40B4-BE49-F238E27FC236}">
              <a16:creationId xmlns:a16="http://schemas.microsoft.com/office/drawing/2014/main" id="{BF15D4D4-928B-43AD-9870-13C97B1B2313}"/>
            </a:ext>
          </a:extLst>
        </xdr:cNvPr>
        <xdr:cNvCxnSpPr>
          <a:stCxn id="117" idx="2"/>
          <a:endCxn id="123" idx="0"/>
        </xdr:cNvCxnSpPr>
      </xdr:nvCxnSpPr>
      <xdr:spPr>
        <a:xfrm rot="5400000">
          <a:off x="13177352" y="3445860"/>
          <a:ext cx="902643" cy="10451441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305532</xdr:colOff>
      <xdr:row>48</xdr:row>
      <xdr:rowOff>125724</xdr:rowOff>
    </xdr:from>
    <xdr:to>
      <xdr:col>26</xdr:col>
      <xdr:colOff>7219</xdr:colOff>
      <xdr:row>48</xdr:row>
      <xdr:rowOff>149342</xdr:rowOff>
    </xdr:to>
    <xdr:cxnSp macro="">
      <xdr:nvCxnSpPr>
        <xdr:cNvPr id="134" name="Connector">
          <a:extLst>
            <a:ext uri="{FF2B5EF4-FFF2-40B4-BE49-F238E27FC236}">
              <a16:creationId xmlns:a16="http://schemas.microsoft.com/office/drawing/2014/main" id="{847F9ED5-3E8D-4963-961F-9BBA51885DA2}"/>
            </a:ext>
          </a:extLst>
        </xdr:cNvPr>
        <xdr:cNvCxnSpPr>
          <a:stCxn id="126" idx="3"/>
          <a:endCxn id="40" idx="1"/>
        </xdr:cNvCxnSpPr>
      </xdr:nvCxnSpPr>
      <xdr:spPr>
        <a:xfrm flipV="1">
          <a:off x="15852790" y="9957982"/>
          <a:ext cx="1729590" cy="2361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378953</xdr:colOff>
      <xdr:row>39</xdr:row>
      <xdr:rowOff>166779</xdr:rowOff>
    </xdr:from>
    <xdr:to>
      <xdr:col>5</xdr:col>
      <xdr:colOff>92177</xdr:colOff>
      <xdr:row>44</xdr:row>
      <xdr:rowOff>122903</xdr:rowOff>
    </xdr:to>
    <xdr:sp macro="[0]!GenerateTable" textlink="">
      <xdr:nvSpPr>
        <xdr:cNvPr id="137" name="Rectangle: Rounded Corners 136">
          <a:extLst>
            <a:ext uri="{FF2B5EF4-FFF2-40B4-BE49-F238E27FC236}">
              <a16:creationId xmlns:a16="http://schemas.microsoft.com/office/drawing/2014/main" id="{4E52C865-5A30-7631-E938-63DC4C9EC9D6}"/>
            </a:ext>
          </a:extLst>
        </xdr:cNvPr>
        <xdr:cNvSpPr/>
      </xdr:nvSpPr>
      <xdr:spPr>
        <a:xfrm>
          <a:off x="1730888" y="8554924"/>
          <a:ext cx="1741128" cy="10315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2000"/>
            <a:t>Generate Table</a:t>
          </a:r>
          <a:endParaRPr lang="en-US" sz="2000"/>
        </a:p>
      </xdr:txBody>
    </xdr:sp>
    <xdr:clientData/>
  </xdr:twoCellAnchor>
  <xdr:twoCellAnchor>
    <xdr:from>
      <xdr:col>15</xdr:col>
      <xdr:colOff>455698</xdr:colOff>
      <xdr:row>44</xdr:row>
      <xdr:rowOff>129064</xdr:rowOff>
    </xdr:from>
    <xdr:to>
      <xdr:col>18</xdr:col>
      <xdr:colOff>169042</xdr:colOff>
      <xdr:row>51</xdr:row>
      <xdr:rowOff>64772</xdr:rowOff>
    </xdr:to>
    <xdr:grpSp>
      <xdr:nvGrpSpPr>
        <xdr:cNvPr id="12" name="Reservoir">
          <a:extLst>
            <a:ext uri="{FF2B5EF4-FFF2-40B4-BE49-F238E27FC236}">
              <a16:creationId xmlns:a16="http://schemas.microsoft.com/office/drawing/2014/main" id="{4B652D65-DA4A-EB45-8C6A-D46BCB78EEE8}"/>
            </a:ext>
          </a:extLst>
        </xdr:cNvPr>
        <xdr:cNvGrpSpPr/>
      </xdr:nvGrpSpPr>
      <xdr:grpSpPr>
        <a:xfrm>
          <a:off x="10615698" y="9442397"/>
          <a:ext cx="1745344" cy="1417375"/>
          <a:chOff x="8363415" y="5854390"/>
          <a:chExt cx="1783214" cy="1395059"/>
        </a:xfrm>
      </xdr:grpSpPr>
      <xdr:sp macro="" textlink="">
        <xdr:nvSpPr>
          <xdr:cNvPr id="13" name="Name">
            <a:extLst>
              <a:ext uri="{FF2B5EF4-FFF2-40B4-BE49-F238E27FC236}">
                <a16:creationId xmlns:a16="http://schemas.microsoft.com/office/drawing/2014/main" id="{0318983F-3646-8508-3F9D-94CBCFA36D77}"/>
              </a:ext>
            </a:extLst>
          </xdr:cNvPr>
          <xdr:cNvSpPr/>
        </xdr:nvSpPr>
        <xdr:spPr>
          <a:xfrm>
            <a:off x="8363415" y="5854390"/>
            <a:ext cx="1783214" cy="1395059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/>
              <a:t>13</a:t>
            </a:r>
            <a:r>
              <a:rPr lang="tr-TR" sz="2000"/>
              <a:t>.</a:t>
            </a:r>
            <a:r>
              <a:rPr lang="tr-TR" sz="2000" baseline="0"/>
              <a:t> </a:t>
            </a:r>
            <a:r>
              <a:rPr lang="en-US" sz="2000" baseline="0"/>
              <a:t>Merowe</a:t>
            </a:r>
            <a:endParaRPr lang="en-US" sz="2000"/>
          </a:p>
        </xdr:txBody>
      </xdr:sp>
      <xdr:sp macro="" textlink="">
        <xdr:nvSpPr>
          <xdr:cNvPr id="14" name="Icon">
            <a:extLst>
              <a:ext uri="{FF2B5EF4-FFF2-40B4-BE49-F238E27FC236}">
                <a16:creationId xmlns:a16="http://schemas.microsoft.com/office/drawing/2014/main" id="{347B366B-23F8-C421-19F0-597D967422BE}"/>
              </a:ext>
            </a:extLst>
          </xdr:cNvPr>
          <xdr:cNvSpPr/>
        </xdr:nvSpPr>
        <xdr:spPr>
          <a:xfrm>
            <a:off x="8797822" y="6226097"/>
            <a:ext cx="914400" cy="82296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469754</xdr:colOff>
      <xdr:row>12</xdr:row>
      <xdr:rowOff>136708</xdr:rowOff>
    </xdr:from>
    <xdr:to>
      <xdr:col>27</xdr:col>
      <xdr:colOff>579548</xdr:colOff>
      <xdr:row>19</xdr:row>
      <xdr:rowOff>2</xdr:rowOff>
    </xdr:to>
    <xdr:cxnSp macro="">
      <xdr:nvCxnSpPr>
        <xdr:cNvPr id="26" name="Connector: Curved 6">
          <a:extLst>
            <a:ext uri="{FF2B5EF4-FFF2-40B4-BE49-F238E27FC236}">
              <a16:creationId xmlns:a16="http://schemas.microsoft.com/office/drawing/2014/main" id="{507FC4ED-E487-3E47-BE7F-5A5EAA9BDCE0}"/>
            </a:ext>
          </a:extLst>
        </xdr:cNvPr>
        <xdr:cNvCxnSpPr>
          <a:stCxn id="58" idx="2"/>
          <a:endCxn id="64" idx="0"/>
        </xdr:cNvCxnSpPr>
      </xdr:nvCxnSpPr>
      <xdr:spPr>
        <a:xfrm rot="5400000">
          <a:off x="13057440" y="-1881300"/>
          <a:ext cx="1297164" cy="1024931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485995</xdr:colOff>
      <xdr:row>47</xdr:row>
      <xdr:rowOff>178149</xdr:rowOff>
    </xdr:from>
    <xdr:to>
      <xdr:col>15</xdr:col>
      <xdr:colOff>455698</xdr:colOff>
      <xdr:row>47</xdr:row>
      <xdr:rowOff>199338</xdr:rowOff>
    </xdr:to>
    <xdr:cxnSp macro="">
      <xdr:nvCxnSpPr>
        <xdr:cNvPr id="36" name="Connector">
          <a:extLst>
            <a:ext uri="{FF2B5EF4-FFF2-40B4-BE49-F238E27FC236}">
              <a16:creationId xmlns:a16="http://schemas.microsoft.com/office/drawing/2014/main" id="{84AB7C16-0BCD-FA4A-A87D-4008D88AA599}"/>
            </a:ext>
          </a:extLst>
        </xdr:cNvPr>
        <xdr:cNvCxnSpPr>
          <a:stCxn id="123" idx="3"/>
          <a:endCxn id="13" idx="1"/>
        </xdr:cNvCxnSpPr>
      </xdr:nvCxnSpPr>
      <xdr:spPr>
        <a:xfrm>
          <a:off x="9273576" y="9805568"/>
          <a:ext cx="1321638" cy="2118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169042</xdr:colOff>
      <xdr:row>47</xdr:row>
      <xdr:rowOff>199338</xdr:rowOff>
    </xdr:from>
    <xdr:to>
      <xdr:col>20</xdr:col>
      <xdr:colOff>602020</xdr:colOff>
      <xdr:row>48</xdr:row>
      <xdr:rowOff>149342</xdr:rowOff>
    </xdr:to>
    <xdr:cxnSp macro="">
      <xdr:nvCxnSpPr>
        <xdr:cNvPr id="41" name="Connector">
          <a:extLst>
            <a:ext uri="{FF2B5EF4-FFF2-40B4-BE49-F238E27FC236}">
              <a16:creationId xmlns:a16="http://schemas.microsoft.com/office/drawing/2014/main" id="{6699696D-3382-E74C-8DFC-951C4AEE6E16}"/>
            </a:ext>
          </a:extLst>
        </xdr:cNvPr>
        <xdr:cNvCxnSpPr>
          <a:stCxn id="13" idx="3"/>
          <a:endCxn id="126" idx="1"/>
        </xdr:cNvCxnSpPr>
      </xdr:nvCxnSpPr>
      <xdr:spPr>
        <a:xfrm>
          <a:off x="12336461" y="9826757"/>
          <a:ext cx="1784914" cy="1548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4GDzW8hPOnI" TargetMode="External"/><Relationship Id="rId1" Type="http://schemas.openxmlformats.org/officeDocument/2006/relationships/hyperlink" Target="https://www.pietrangeli.com/gerdp-hydroelectric-plant-ethiopia-afri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088A8-03D6-1140-857A-EC8C8A0D1928}">
  <sheetPr codeName="Sheet1"/>
  <dimension ref="A1:F17"/>
  <sheetViews>
    <sheetView zoomScale="142" zoomScaleNormal="142" workbookViewId="0">
      <selection activeCell="I13" sqref="I13"/>
    </sheetView>
  </sheetViews>
  <sheetFormatPr baseColWidth="10" defaultColWidth="11" defaultRowHeight="16" x14ac:dyDescent="0.2"/>
  <cols>
    <col min="1" max="1" width="16.5" customWidth="1"/>
    <col min="2" max="2" width="14.5" bestFit="1" customWidth="1"/>
    <col min="3" max="3" width="19.5" bestFit="1" customWidth="1"/>
    <col min="4" max="4" width="14.33203125" bestFit="1" customWidth="1"/>
    <col min="6" max="6" width="14" bestFit="1" customWidth="1"/>
  </cols>
  <sheetData>
    <row r="1" spans="1:6" x14ac:dyDescent="0.2">
      <c r="A1" s="1" t="s">
        <v>54</v>
      </c>
      <c r="B1" s="1" t="s">
        <v>33</v>
      </c>
      <c r="C1" s="1" t="s">
        <v>26</v>
      </c>
      <c r="D1" s="1" t="s">
        <v>57</v>
      </c>
      <c r="E1" s="1" t="s">
        <v>70</v>
      </c>
      <c r="F1" s="1" t="s">
        <v>72</v>
      </c>
    </row>
    <row r="2" spans="1:6" x14ac:dyDescent="0.2">
      <c r="A2">
        <v>0</v>
      </c>
      <c r="B2" t="s">
        <v>55</v>
      </c>
      <c r="C2" t="s">
        <v>56</v>
      </c>
      <c r="D2">
        <v>1</v>
      </c>
      <c r="E2">
        <v>0</v>
      </c>
    </row>
    <row r="3" spans="1:6" x14ac:dyDescent="0.2">
      <c r="A3">
        <v>1</v>
      </c>
      <c r="B3" t="s">
        <v>58</v>
      </c>
      <c r="C3" t="s">
        <v>49</v>
      </c>
      <c r="D3">
        <v>2</v>
      </c>
      <c r="E3">
        <v>0</v>
      </c>
    </row>
    <row r="4" spans="1:6" x14ac:dyDescent="0.2">
      <c r="A4">
        <v>2</v>
      </c>
      <c r="B4" t="s">
        <v>58</v>
      </c>
      <c r="C4" t="s">
        <v>53</v>
      </c>
      <c r="D4">
        <v>3</v>
      </c>
      <c r="E4">
        <v>0</v>
      </c>
    </row>
    <row r="5" spans="1:6" x14ac:dyDescent="0.2">
      <c r="A5">
        <v>3</v>
      </c>
      <c r="B5" t="s">
        <v>69</v>
      </c>
      <c r="C5" t="s">
        <v>59</v>
      </c>
      <c r="D5">
        <v>4</v>
      </c>
      <c r="E5">
        <v>0</v>
      </c>
    </row>
    <row r="6" spans="1:6" x14ac:dyDescent="0.2">
      <c r="A6">
        <v>4</v>
      </c>
      <c r="B6" t="s">
        <v>58</v>
      </c>
      <c r="C6" t="s">
        <v>50</v>
      </c>
      <c r="D6">
        <v>5</v>
      </c>
      <c r="E6">
        <v>0</v>
      </c>
    </row>
    <row r="7" spans="1:6" x14ac:dyDescent="0.2">
      <c r="A7">
        <v>5</v>
      </c>
      <c r="B7" t="s">
        <v>69</v>
      </c>
      <c r="C7" t="s">
        <v>60</v>
      </c>
      <c r="D7">
        <v>6</v>
      </c>
      <c r="E7">
        <v>0</v>
      </c>
    </row>
    <row r="8" spans="1:6" x14ac:dyDescent="0.2">
      <c r="A8">
        <v>6</v>
      </c>
      <c r="B8" t="s">
        <v>55</v>
      </c>
      <c r="C8" t="s">
        <v>61</v>
      </c>
      <c r="D8">
        <v>7</v>
      </c>
      <c r="E8">
        <v>0</v>
      </c>
    </row>
    <row r="9" spans="1:6" x14ac:dyDescent="0.2">
      <c r="A9">
        <v>7</v>
      </c>
      <c r="B9" t="s">
        <v>55</v>
      </c>
      <c r="C9" t="s">
        <v>62</v>
      </c>
      <c r="D9">
        <v>8</v>
      </c>
      <c r="E9">
        <v>0</v>
      </c>
    </row>
    <row r="10" spans="1:6" x14ac:dyDescent="0.2">
      <c r="A10">
        <v>8</v>
      </c>
      <c r="B10" t="s">
        <v>69</v>
      </c>
      <c r="C10" t="s">
        <v>63</v>
      </c>
      <c r="D10">
        <v>9</v>
      </c>
      <c r="E10">
        <v>0</v>
      </c>
    </row>
    <row r="11" spans="1:6" x14ac:dyDescent="0.2">
      <c r="A11">
        <v>9</v>
      </c>
      <c r="B11" t="s">
        <v>55</v>
      </c>
      <c r="C11" t="s">
        <v>64</v>
      </c>
      <c r="D11">
        <v>10</v>
      </c>
      <c r="E11">
        <v>0</v>
      </c>
    </row>
    <row r="12" spans="1:6" x14ac:dyDescent="0.2">
      <c r="A12">
        <v>10</v>
      </c>
      <c r="B12" t="s">
        <v>69</v>
      </c>
      <c r="C12" t="s">
        <v>65</v>
      </c>
      <c r="D12">
        <v>11</v>
      </c>
      <c r="E12">
        <v>0</v>
      </c>
    </row>
    <row r="13" spans="1:6" x14ac:dyDescent="0.2">
      <c r="A13">
        <v>11</v>
      </c>
      <c r="B13" t="s">
        <v>55</v>
      </c>
      <c r="C13" t="s">
        <v>66</v>
      </c>
      <c r="D13">
        <v>12</v>
      </c>
      <c r="E13">
        <v>0</v>
      </c>
    </row>
    <row r="14" spans="1:6" x14ac:dyDescent="0.2">
      <c r="A14">
        <v>12</v>
      </c>
      <c r="B14" t="s">
        <v>69</v>
      </c>
      <c r="C14" t="s">
        <v>67</v>
      </c>
      <c r="D14">
        <v>13</v>
      </c>
      <c r="E14">
        <v>0</v>
      </c>
    </row>
    <row r="15" spans="1:6" x14ac:dyDescent="0.2">
      <c r="A15">
        <v>13</v>
      </c>
      <c r="B15" t="s">
        <v>58</v>
      </c>
      <c r="C15" t="s">
        <v>73</v>
      </c>
      <c r="D15">
        <v>14</v>
      </c>
      <c r="E15">
        <v>1</v>
      </c>
      <c r="F15" t="s">
        <v>130</v>
      </c>
    </row>
    <row r="16" spans="1:6" x14ac:dyDescent="0.2">
      <c r="A16">
        <v>14</v>
      </c>
      <c r="B16" t="s">
        <v>58</v>
      </c>
      <c r="C16" t="s">
        <v>51</v>
      </c>
      <c r="D16">
        <v>15</v>
      </c>
      <c r="E16">
        <v>0</v>
      </c>
    </row>
    <row r="17" spans="1:5" x14ac:dyDescent="0.2">
      <c r="A17">
        <v>15</v>
      </c>
      <c r="B17" t="s">
        <v>69</v>
      </c>
      <c r="C17" t="s">
        <v>68</v>
      </c>
      <c r="D17" t="s">
        <v>128</v>
      </c>
      <c r="E17">
        <v>0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A8C56-ED61-4986-BABD-CC0223E1CBB9}">
  <sheetPr codeName="Sheet2"/>
  <dimension ref="A1:N38"/>
  <sheetViews>
    <sheetView showGridLines="0" zoomScale="60" zoomScaleNormal="60" workbookViewId="0">
      <selection activeCell="AG14" sqref="AG14"/>
    </sheetView>
  </sheetViews>
  <sheetFormatPr baseColWidth="10" defaultColWidth="8.83203125" defaultRowHeight="16" x14ac:dyDescent="0.2"/>
  <sheetData>
    <row r="1" spans="1:14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4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</row>
    <row r="6" spans="1:14" x14ac:dyDescent="0.2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 spans="1:14" x14ac:dyDescent="0.2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4" x14ac:dyDescent="0.2">
      <c r="A8" s="6"/>
      <c r="B8" s="6"/>
      <c r="C8" s="6"/>
      <c r="D8" s="6"/>
      <c r="E8" s="6"/>
      <c r="F8" s="19"/>
      <c r="G8" s="19"/>
      <c r="H8" s="19"/>
      <c r="I8" s="19"/>
      <c r="J8" s="19"/>
      <c r="K8" s="6"/>
      <c r="L8" s="6"/>
      <c r="M8" s="6"/>
      <c r="N8" s="6"/>
    </row>
    <row r="9" spans="1:14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</row>
    <row r="10" spans="1:14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 spans="1:14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 spans="1:14" x14ac:dyDescent="0.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</row>
    <row r="13" spans="1:14" x14ac:dyDescent="0.2">
      <c r="A13" s="6"/>
      <c r="B13" s="6"/>
      <c r="C13" s="6"/>
      <c r="D13" s="6"/>
      <c r="E13" s="6"/>
      <c r="F13" s="19"/>
      <c r="G13" s="19"/>
      <c r="H13" s="19"/>
      <c r="I13" s="19"/>
      <c r="J13" s="19"/>
      <c r="K13" s="6"/>
      <c r="L13" s="6"/>
      <c r="M13" s="6"/>
      <c r="N13" s="6"/>
    </row>
    <row r="14" spans="1:14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</row>
    <row r="15" spans="1:14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</row>
    <row r="16" spans="1:14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</row>
    <row r="17" spans="1:14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</row>
    <row r="18" spans="1:14" x14ac:dyDescent="0.2">
      <c r="A18" s="6"/>
      <c r="B18" s="6"/>
      <c r="C18" s="6"/>
      <c r="D18" s="6"/>
      <c r="E18" s="6"/>
      <c r="F18" s="19"/>
      <c r="G18" s="19"/>
      <c r="H18" s="19"/>
      <c r="I18" s="19"/>
      <c r="J18" s="19"/>
      <c r="K18" s="6"/>
      <c r="L18" s="6"/>
      <c r="M18" s="6"/>
      <c r="N18" s="6"/>
    </row>
    <row r="19" spans="1:14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1:14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</row>
    <row r="21" spans="1:14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</row>
    <row r="22" spans="1:14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</row>
    <row r="23" spans="1:14" x14ac:dyDescent="0.2">
      <c r="A23" s="6"/>
      <c r="B23" s="6"/>
      <c r="C23" s="6"/>
      <c r="D23" s="6"/>
      <c r="E23" s="6"/>
      <c r="F23" s="19"/>
      <c r="G23" s="19"/>
      <c r="H23" s="19"/>
      <c r="I23" s="19"/>
      <c r="J23" s="19"/>
      <c r="K23" s="6"/>
      <c r="L23" s="6"/>
      <c r="M23" s="6"/>
      <c r="N23" s="6"/>
    </row>
    <row r="24" spans="1:14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</row>
    <row r="25" spans="1:14" x14ac:dyDescent="0.2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</row>
    <row r="26" spans="1:14" x14ac:dyDescent="0.2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</row>
    <row r="27" spans="1:14" x14ac:dyDescent="0.2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</row>
    <row r="28" spans="1:14" x14ac:dyDescent="0.2">
      <c r="A28" s="6"/>
      <c r="B28" s="6"/>
      <c r="C28" s="7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</row>
    <row r="29" spans="1:14" x14ac:dyDescent="0.2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</row>
    <row r="30" spans="1:14" x14ac:dyDescent="0.2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1:14" x14ac:dyDescent="0.2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</row>
    <row r="32" spans="1:14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1:14" x14ac:dyDescent="0.2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1:14" x14ac:dyDescent="0.2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1:14" x14ac:dyDescent="0.2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</row>
    <row r="36" spans="1:14" x14ac:dyDescent="0.2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</row>
    <row r="37" spans="1:14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</row>
    <row r="38" spans="1:14" x14ac:dyDescent="0.2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</row>
  </sheetData>
  <mergeCells count="4">
    <mergeCell ref="F8:J8"/>
    <mergeCell ref="F13:J13"/>
    <mergeCell ref="F18:J18"/>
    <mergeCell ref="F23:J23"/>
  </mergeCells>
  <pageMargins left="0.7" right="0.7" top="0.75" bottom="0.75" header="0.3" footer="0.3"/>
  <pageSetup paperSize="1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A19-541A-E94D-BB27-74C5363B6884}">
  <sheetPr codeName="Sheet3"/>
  <dimension ref="A1:E6"/>
  <sheetViews>
    <sheetView zoomScale="157" zoomScaleNormal="157" workbookViewId="0">
      <selection activeCell="B13" sqref="B13"/>
    </sheetView>
  </sheetViews>
  <sheetFormatPr baseColWidth="10" defaultColWidth="11" defaultRowHeight="16" x14ac:dyDescent="0.2"/>
  <cols>
    <col min="1" max="1" width="30.5" bestFit="1" customWidth="1"/>
    <col min="2" max="2" width="61.6640625" customWidth="1"/>
    <col min="3" max="3" width="11.33203125" customWidth="1"/>
    <col min="4" max="4" width="20.6640625" bestFit="1" customWidth="1"/>
  </cols>
  <sheetData>
    <row r="1" spans="1:5" x14ac:dyDescent="0.2">
      <c r="A1" s="1" t="s">
        <v>1</v>
      </c>
      <c r="B1" s="1" t="s">
        <v>4</v>
      </c>
      <c r="C1" s="1" t="s">
        <v>5</v>
      </c>
      <c r="D1" s="1" t="s">
        <v>2</v>
      </c>
      <c r="E1" s="1" t="s">
        <v>6</v>
      </c>
    </row>
    <row r="2" spans="1:5" x14ac:dyDescent="0.2">
      <c r="A2" t="s">
        <v>0</v>
      </c>
      <c r="B2">
        <v>240</v>
      </c>
      <c r="C2" t="s">
        <v>8</v>
      </c>
      <c r="D2" t="s">
        <v>3</v>
      </c>
      <c r="E2" t="s">
        <v>7</v>
      </c>
    </row>
    <row r="3" spans="1:5" x14ac:dyDescent="0.2">
      <c r="A3" t="s">
        <v>9</v>
      </c>
      <c r="B3">
        <v>1</v>
      </c>
      <c r="C3" t="s">
        <v>10</v>
      </c>
      <c r="D3" t="s">
        <v>11</v>
      </c>
      <c r="E3" t="s">
        <v>7</v>
      </c>
    </row>
    <row r="4" spans="1:5" x14ac:dyDescent="0.2">
      <c r="A4" t="s">
        <v>12</v>
      </c>
      <c r="B4" s="5">
        <v>1632.8</v>
      </c>
      <c r="C4" t="s">
        <v>13</v>
      </c>
      <c r="D4" t="s">
        <v>14</v>
      </c>
      <c r="E4" t="s">
        <v>15</v>
      </c>
    </row>
    <row r="5" spans="1:5" x14ac:dyDescent="0.2">
      <c r="A5" t="s">
        <v>16</v>
      </c>
      <c r="B5" t="s">
        <v>17</v>
      </c>
      <c r="C5" t="s">
        <v>18</v>
      </c>
      <c r="D5" t="s">
        <v>19</v>
      </c>
      <c r="E5" t="s">
        <v>20</v>
      </c>
    </row>
    <row r="6" spans="1:5" x14ac:dyDescent="0.2">
      <c r="A6" t="s">
        <v>48</v>
      </c>
      <c r="B6" t="s">
        <v>131</v>
      </c>
      <c r="C6" t="s">
        <v>10</v>
      </c>
      <c r="D6" t="s">
        <v>47</v>
      </c>
      <c r="E6" t="s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6D96C-8ADA-8E40-B2A8-24351E5FCFAE}">
  <sheetPr codeName="Sheet4"/>
  <dimension ref="A1:G6"/>
  <sheetViews>
    <sheetView workbookViewId="0">
      <selection activeCell="G5" sqref="G5"/>
    </sheetView>
  </sheetViews>
  <sheetFormatPr baseColWidth="10" defaultColWidth="11" defaultRowHeight="16" x14ac:dyDescent="0.2"/>
  <cols>
    <col min="1" max="1" width="15.83203125" bestFit="1" customWidth="1"/>
    <col min="2" max="3" width="19.1640625" customWidth="1"/>
    <col min="4" max="4" width="17.5" bestFit="1" customWidth="1"/>
    <col min="5" max="5" width="14" customWidth="1"/>
    <col min="6" max="6" width="15.1640625" customWidth="1"/>
    <col min="7" max="7" width="13" customWidth="1"/>
    <col min="10" max="10" width="11" customWidth="1"/>
  </cols>
  <sheetData>
    <row r="1" spans="1:7" x14ac:dyDescent="0.2">
      <c r="A1" s="1" t="s">
        <v>21</v>
      </c>
      <c r="B1" s="3" t="s">
        <v>22</v>
      </c>
      <c r="C1" s="3" t="s">
        <v>71</v>
      </c>
      <c r="D1" s="1" t="s">
        <v>23</v>
      </c>
      <c r="E1" s="1" t="s">
        <v>24</v>
      </c>
      <c r="F1" s="1" t="s">
        <v>25</v>
      </c>
      <c r="G1" s="1" t="s">
        <v>52</v>
      </c>
    </row>
    <row r="2" spans="1:7" x14ac:dyDescent="0.2">
      <c r="A2" t="s">
        <v>49</v>
      </c>
      <c r="B2" s="4">
        <v>15650000000</v>
      </c>
      <c r="C2" s="4" t="b">
        <v>1</v>
      </c>
      <c r="D2" s="5">
        <v>4320</v>
      </c>
      <c r="E2" s="5">
        <v>0.93</v>
      </c>
      <c r="F2" s="13">
        <v>500</v>
      </c>
      <c r="G2" s="5">
        <v>5150</v>
      </c>
    </row>
    <row r="3" spans="1:7" x14ac:dyDescent="0.2">
      <c r="A3" t="s">
        <v>53</v>
      </c>
      <c r="B3" s="5">
        <v>6095000000</v>
      </c>
      <c r="C3" s="5" t="b">
        <v>1</v>
      </c>
      <c r="D3" s="5">
        <v>840</v>
      </c>
      <c r="E3" s="5">
        <v>0.6</v>
      </c>
      <c r="F3" s="5">
        <v>467</v>
      </c>
      <c r="G3" s="5">
        <v>280</v>
      </c>
    </row>
    <row r="4" spans="1:7" x14ac:dyDescent="0.2">
      <c r="A4" t="s">
        <v>50</v>
      </c>
      <c r="B4" s="5">
        <v>382500000</v>
      </c>
      <c r="C4" s="5" t="b">
        <v>1</v>
      </c>
      <c r="D4" s="5">
        <v>524</v>
      </c>
      <c r="E4" s="5">
        <v>0.6</v>
      </c>
      <c r="F4" s="5">
        <v>417.2</v>
      </c>
      <c r="G4" s="5">
        <v>15</v>
      </c>
    </row>
    <row r="5" spans="1:7" x14ac:dyDescent="0.2">
      <c r="A5" t="s">
        <v>73</v>
      </c>
      <c r="B5" s="5">
        <v>11650200000</v>
      </c>
      <c r="C5" s="5" t="b">
        <v>1</v>
      </c>
      <c r="D5" s="5">
        <v>3105</v>
      </c>
      <c r="E5" s="5">
        <v>0.85</v>
      </c>
      <c r="F5" s="5">
        <v>249.9</v>
      </c>
      <c r="G5" s="5">
        <v>1250</v>
      </c>
    </row>
    <row r="6" spans="1:7" x14ac:dyDescent="0.2">
      <c r="A6" t="s">
        <v>51</v>
      </c>
      <c r="B6" s="5">
        <v>149500000000</v>
      </c>
      <c r="C6" s="5" t="b">
        <v>1</v>
      </c>
      <c r="D6" s="5">
        <v>4211</v>
      </c>
      <c r="E6" s="5">
        <v>0.9</v>
      </c>
      <c r="F6" s="5">
        <v>147</v>
      </c>
      <c r="G6" s="5">
        <v>2100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3061-AE41-8A4B-969C-CFE2C42F73B9}">
  <sheetPr codeName="Sheet5"/>
  <dimension ref="A1:E41"/>
  <sheetViews>
    <sheetView tabSelected="1" zoomScale="110" zoomScaleNormal="110" workbookViewId="0">
      <selection activeCell="B16" sqref="B16"/>
    </sheetView>
  </sheetViews>
  <sheetFormatPr baseColWidth="10" defaultColWidth="11" defaultRowHeight="16" x14ac:dyDescent="0.2"/>
  <cols>
    <col min="1" max="1" width="18.1640625" customWidth="1"/>
    <col min="2" max="2" width="79.5" bestFit="1" customWidth="1"/>
    <col min="3" max="3" width="15.5" bestFit="1" customWidth="1"/>
    <col min="4" max="4" width="17.1640625" bestFit="1" customWidth="1"/>
  </cols>
  <sheetData>
    <row r="1" spans="1:5" x14ac:dyDescent="0.2">
      <c r="A1" s="1" t="s">
        <v>1</v>
      </c>
      <c r="B1" s="1" t="s">
        <v>4</v>
      </c>
      <c r="C1" s="1" t="s">
        <v>5</v>
      </c>
      <c r="D1" s="1" t="s">
        <v>2</v>
      </c>
      <c r="E1" s="1" t="s">
        <v>6</v>
      </c>
    </row>
    <row r="2" spans="1:5" x14ac:dyDescent="0.2">
      <c r="A2" s="2" t="s">
        <v>26</v>
      </c>
      <c r="B2" t="s">
        <v>34</v>
      </c>
      <c r="D2" t="s">
        <v>37</v>
      </c>
      <c r="E2" t="s">
        <v>45</v>
      </c>
    </row>
    <row r="3" spans="1:5" x14ac:dyDescent="0.2">
      <c r="A3" s="2" t="s">
        <v>33</v>
      </c>
      <c r="B3" t="s">
        <v>46</v>
      </c>
      <c r="D3" t="s">
        <v>36</v>
      </c>
      <c r="E3" t="s">
        <v>45</v>
      </c>
    </row>
    <row r="4" spans="1:5" x14ac:dyDescent="0.2">
      <c r="A4" s="2" t="s">
        <v>27</v>
      </c>
      <c r="B4" s="5">
        <v>7</v>
      </c>
      <c r="D4" t="s">
        <v>38</v>
      </c>
      <c r="E4" t="s">
        <v>7</v>
      </c>
    </row>
    <row r="5" spans="1:5" x14ac:dyDescent="0.2">
      <c r="A5" s="2" t="s">
        <v>28</v>
      </c>
      <c r="B5" s="5">
        <v>5</v>
      </c>
      <c r="D5" t="s">
        <v>39</v>
      </c>
      <c r="E5" t="s">
        <v>7</v>
      </c>
    </row>
    <row r="6" spans="1:5" x14ac:dyDescent="0.2">
      <c r="A6" t="s">
        <v>35</v>
      </c>
      <c r="B6" s="5">
        <v>10</v>
      </c>
      <c r="D6" t="s">
        <v>40</v>
      </c>
      <c r="E6" t="s">
        <v>7</v>
      </c>
    </row>
    <row r="7" spans="1:5" x14ac:dyDescent="0.2">
      <c r="A7" t="s">
        <v>29</v>
      </c>
      <c r="B7" s="5" t="s">
        <v>118</v>
      </c>
      <c r="D7" t="s">
        <v>41</v>
      </c>
      <c r="E7" t="s">
        <v>20</v>
      </c>
    </row>
    <row r="8" spans="1:5" x14ac:dyDescent="0.2">
      <c r="A8" t="s">
        <v>30</v>
      </c>
      <c r="B8" s="5" t="s">
        <v>119</v>
      </c>
      <c r="D8" t="s">
        <v>42</v>
      </c>
      <c r="E8" t="s">
        <v>20</v>
      </c>
    </row>
    <row r="9" spans="1:5" x14ac:dyDescent="0.2">
      <c r="A9" t="s">
        <v>31</v>
      </c>
      <c r="B9" s="17" t="s">
        <v>120</v>
      </c>
      <c r="D9" t="s">
        <v>43</v>
      </c>
      <c r="E9" t="s">
        <v>20</v>
      </c>
    </row>
    <row r="10" spans="1:5" x14ac:dyDescent="0.2">
      <c r="A10" t="s">
        <v>32</v>
      </c>
      <c r="B10" s="17" t="s">
        <v>121</v>
      </c>
      <c r="D10" t="s">
        <v>44</v>
      </c>
      <c r="E10" t="s">
        <v>20</v>
      </c>
    </row>
    <row r="11" spans="1:5" x14ac:dyDescent="0.2">
      <c r="A11" s="2" t="s">
        <v>26</v>
      </c>
      <c r="B11" s="17" t="s">
        <v>124</v>
      </c>
      <c r="D11" t="s">
        <v>37</v>
      </c>
      <c r="E11" t="s">
        <v>45</v>
      </c>
    </row>
    <row r="12" spans="1:5" x14ac:dyDescent="0.2">
      <c r="A12" s="2" t="s">
        <v>33</v>
      </c>
      <c r="B12" s="17" t="s">
        <v>129</v>
      </c>
      <c r="D12" t="s">
        <v>36</v>
      </c>
      <c r="E12" t="s">
        <v>45</v>
      </c>
    </row>
    <row r="13" spans="1:5" x14ac:dyDescent="0.2">
      <c r="A13" s="2" t="s">
        <v>27</v>
      </c>
      <c r="B13" s="5">
        <v>2</v>
      </c>
      <c r="D13" t="s">
        <v>38</v>
      </c>
      <c r="E13" t="s">
        <v>7</v>
      </c>
    </row>
    <row r="14" spans="1:5" x14ac:dyDescent="0.2">
      <c r="A14" s="2" t="s">
        <v>28</v>
      </c>
      <c r="B14" s="5">
        <v>1</v>
      </c>
      <c r="D14" t="s">
        <v>39</v>
      </c>
      <c r="E14" t="s">
        <v>7</v>
      </c>
    </row>
    <row r="15" spans="1:5" x14ac:dyDescent="0.2">
      <c r="A15" s="18" t="s">
        <v>122</v>
      </c>
      <c r="B15" s="5">
        <v>200</v>
      </c>
      <c r="D15" t="s">
        <v>123</v>
      </c>
      <c r="E15" t="s">
        <v>15</v>
      </c>
    </row>
    <row r="16" spans="1:5" x14ac:dyDescent="0.2">
      <c r="A16" s="2" t="s">
        <v>26</v>
      </c>
      <c r="B16" s="17" t="s">
        <v>125</v>
      </c>
      <c r="D16" t="s">
        <v>37</v>
      </c>
      <c r="E16" t="s">
        <v>45</v>
      </c>
    </row>
    <row r="17" spans="1:5" x14ac:dyDescent="0.2">
      <c r="A17" s="2" t="s">
        <v>33</v>
      </c>
      <c r="B17" s="17" t="s">
        <v>129</v>
      </c>
      <c r="D17" t="s">
        <v>36</v>
      </c>
      <c r="E17" t="s">
        <v>45</v>
      </c>
    </row>
    <row r="18" spans="1:5" x14ac:dyDescent="0.2">
      <c r="A18" s="2" t="s">
        <v>27</v>
      </c>
      <c r="B18" s="5">
        <v>2</v>
      </c>
      <c r="D18" t="s">
        <v>38</v>
      </c>
      <c r="E18" t="s">
        <v>7</v>
      </c>
    </row>
    <row r="19" spans="1:5" x14ac:dyDescent="0.2">
      <c r="A19" s="2" t="s">
        <v>28</v>
      </c>
      <c r="B19" s="5">
        <v>1</v>
      </c>
      <c r="D19" t="s">
        <v>39</v>
      </c>
      <c r="E19" t="s">
        <v>7</v>
      </c>
    </row>
    <row r="20" spans="1:5" x14ac:dyDescent="0.2">
      <c r="A20" s="18" t="s">
        <v>122</v>
      </c>
      <c r="B20" s="5">
        <v>500</v>
      </c>
      <c r="D20" t="s">
        <v>123</v>
      </c>
      <c r="E20" t="s">
        <v>15</v>
      </c>
    </row>
    <row r="21" spans="1:5" x14ac:dyDescent="0.2">
      <c r="A21" s="2" t="s">
        <v>26</v>
      </c>
      <c r="B21" s="17" t="s">
        <v>117</v>
      </c>
      <c r="D21" t="s">
        <v>37</v>
      </c>
      <c r="E21" t="s">
        <v>45</v>
      </c>
    </row>
    <row r="22" spans="1:5" x14ac:dyDescent="0.2">
      <c r="A22" s="2" t="s">
        <v>33</v>
      </c>
      <c r="B22" s="17" t="s">
        <v>129</v>
      </c>
      <c r="D22" t="s">
        <v>36</v>
      </c>
      <c r="E22" t="s">
        <v>45</v>
      </c>
    </row>
    <row r="23" spans="1:5" x14ac:dyDescent="0.2">
      <c r="A23" s="2" t="s">
        <v>27</v>
      </c>
      <c r="B23" s="5">
        <v>2</v>
      </c>
      <c r="D23" t="s">
        <v>38</v>
      </c>
      <c r="E23" t="s">
        <v>7</v>
      </c>
    </row>
    <row r="24" spans="1:5" x14ac:dyDescent="0.2">
      <c r="A24" s="2" t="s">
        <v>28</v>
      </c>
      <c r="B24" s="5">
        <v>1</v>
      </c>
      <c r="D24" t="s">
        <v>39</v>
      </c>
      <c r="E24" t="s">
        <v>7</v>
      </c>
    </row>
    <row r="25" spans="1:5" x14ac:dyDescent="0.2">
      <c r="A25" s="18" t="s">
        <v>122</v>
      </c>
      <c r="B25" s="5">
        <v>50</v>
      </c>
      <c r="D25" t="s">
        <v>123</v>
      </c>
      <c r="E25" t="s">
        <v>15</v>
      </c>
    </row>
    <row r="26" spans="1:5" x14ac:dyDescent="0.2">
      <c r="A26" s="2" t="s">
        <v>26</v>
      </c>
      <c r="B26" s="17" t="s">
        <v>126</v>
      </c>
      <c r="D26" t="s">
        <v>37</v>
      </c>
      <c r="E26" t="s">
        <v>45</v>
      </c>
    </row>
    <row r="27" spans="1:5" x14ac:dyDescent="0.2">
      <c r="A27" s="2" t="s">
        <v>33</v>
      </c>
      <c r="B27" s="17" t="s">
        <v>129</v>
      </c>
      <c r="D27" t="s">
        <v>36</v>
      </c>
      <c r="E27" t="s">
        <v>45</v>
      </c>
    </row>
    <row r="28" spans="1:5" x14ac:dyDescent="0.2">
      <c r="A28" s="2" t="s">
        <v>27</v>
      </c>
      <c r="B28" s="5">
        <v>2</v>
      </c>
      <c r="D28" t="s">
        <v>38</v>
      </c>
      <c r="E28" t="s">
        <v>7</v>
      </c>
    </row>
    <row r="29" spans="1:5" x14ac:dyDescent="0.2">
      <c r="A29" s="2" t="s">
        <v>28</v>
      </c>
      <c r="B29" s="5">
        <v>1</v>
      </c>
      <c r="D29" t="s">
        <v>39</v>
      </c>
      <c r="E29" t="s">
        <v>7</v>
      </c>
    </row>
    <row r="30" spans="1:5" x14ac:dyDescent="0.2">
      <c r="A30" s="18" t="s">
        <v>122</v>
      </c>
      <c r="B30" s="5">
        <v>50</v>
      </c>
      <c r="D30" t="s">
        <v>123</v>
      </c>
      <c r="E30" t="s">
        <v>15</v>
      </c>
    </row>
    <row r="31" spans="1:5" x14ac:dyDescent="0.2">
      <c r="A31" s="2" t="s">
        <v>26</v>
      </c>
      <c r="B31" s="17" t="s">
        <v>127</v>
      </c>
      <c r="D31" t="s">
        <v>37</v>
      </c>
      <c r="E31" t="s">
        <v>45</v>
      </c>
    </row>
    <row r="32" spans="1:5" x14ac:dyDescent="0.2">
      <c r="A32" s="2" t="s">
        <v>33</v>
      </c>
      <c r="B32" s="17" t="s">
        <v>129</v>
      </c>
      <c r="D32" t="s">
        <v>36</v>
      </c>
      <c r="E32" t="s">
        <v>45</v>
      </c>
    </row>
    <row r="33" spans="1:5" x14ac:dyDescent="0.2">
      <c r="A33" s="2" t="s">
        <v>27</v>
      </c>
      <c r="B33" s="5">
        <v>2</v>
      </c>
      <c r="D33" t="s">
        <v>38</v>
      </c>
      <c r="E33" t="s">
        <v>7</v>
      </c>
    </row>
    <row r="34" spans="1:5" x14ac:dyDescent="0.2">
      <c r="A34" s="2" t="s">
        <v>28</v>
      </c>
      <c r="B34" s="5">
        <v>1</v>
      </c>
      <c r="D34" t="s">
        <v>39</v>
      </c>
      <c r="E34" t="s">
        <v>7</v>
      </c>
    </row>
    <row r="35" spans="1:5" x14ac:dyDescent="0.2">
      <c r="A35" s="18" t="s">
        <v>122</v>
      </c>
      <c r="B35" s="5">
        <v>50</v>
      </c>
      <c r="D35" t="s">
        <v>123</v>
      </c>
      <c r="E35" t="s">
        <v>15</v>
      </c>
    </row>
    <row r="36" spans="1:5" x14ac:dyDescent="0.2">
      <c r="B36" s="5"/>
    </row>
    <row r="37" spans="1:5" x14ac:dyDescent="0.2">
      <c r="B37" s="5"/>
    </row>
    <row r="38" spans="1:5" x14ac:dyDescent="0.2">
      <c r="B38" s="5"/>
    </row>
    <row r="39" spans="1:5" x14ac:dyDescent="0.2">
      <c r="B39" s="5"/>
    </row>
    <row r="40" spans="1:5" x14ac:dyDescent="0.2">
      <c r="B40" s="5"/>
    </row>
    <row r="41" spans="1:5" x14ac:dyDescent="0.2">
      <c r="B41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F9F20-66C9-2049-BC1D-C18377D8C733}">
  <dimension ref="C1:E28"/>
  <sheetViews>
    <sheetView topLeftCell="C1" zoomScale="130" zoomScaleNormal="130" workbookViewId="0">
      <selection activeCell="D22" sqref="D22"/>
    </sheetView>
  </sheetViews>
  <sheetFormatPr baseColWidth="10" defaultRowHeight="16" x14ac:dyDescent="0.2"/>
  <cols>
    <col min="2" max="2" width="6.83203125" customWidth="1"/>
    <col min="3" max="3" width="27.33203125" customWidth="1"/>
    <col min="4" max="4" width="25.1640625" customWidth="1"/>
    <col min="5" max="5" width="31.33203125" customWidth="1"/>
  </cols>
  <sheetData>
    <row r="1" spans="3:5" ht="18" thickBot="1" x14ac:dyDescent="0.25">
      <c r="C1" s="8"/>
      <c r="D1" s="9" t="s">
        <v>74</v>
      </c>
      <c r="E1" s="9" t="s">
        <v>75</v>
      </c>
    </row>
    <row r="2" spans="3:5" ht="35" thickBot="1" x14ac:dyDescent="0.25">
      <c r="C2" s="10" t="s">
        <v>76</v>
      </c>
      <c r="D2" s="11">
        <v>29.5</v>
      </c>
      <c r="E2" s="11">
        <v>6</v>
      </c>
    </row>
    <row r="3" spans="3:5" ht="55" customHeight="1" thickBot="1" x14ac:dyDescent="0.25">
      <c r="C3" s="10" t="s">
        <v>77</v>
      </c>
      <c r="D3" s="11">
        <v>1</v>
      </c>
      <c r="E3" s="11">
        <v>30</v>
      </c>
    </row>
    <row r="4" spans="3:5" ht="18" thickBot="1" x14ac:dyDescent="0.25">
      <c r="C4" s="10" t="s">
        <v>78</v>
      </c>
      <c r="D4" s="12">
        <v>50000</v>
      </c>
      <c r="E4" s="12">
        <v>500000</v>
      </c>
    </row>
    <row r="5" spans="3:5" ht="18" thickBot="1" x14ac:dyDescent="0.25">
      <c r="C5" s="10" t="s">
        <v>79</v>
      </c>
      <c r="D5" s="11">
        <v>1</v>
      </c>
      <c r="E5" s="11">
        <v>5</v>
      </c>
    </row>
    <row r="6" spans="3:5" ht="18" thickBot="1" x14ac:dyDescent="0.25">
      <c r="C6" s="10" t="s">
        <v>80</v>
      </c>
      <c r="D6" s="11">
        <v>48</v>
      </c>
      <c r="E6" s="11">
        <v>144</v>
      </c>
    </row>
    <row r="7" spans="3:5" ht="18" thickBot="1" x14ac:dyDescent="0.25">
      <c r="C7" s="10" t="s">
        <v>81</v>
      </c>
      <c r="D7" s="11">
        <v>11.15</v>
      </c>
      <c r="E7" s="11"/>
    </row>
    <row r="9" spans="3:5" x14ac:dyDescent="0.2">
      <c r="C9" t="s">
        <v>82</v>
      </c>
    </row>
    <row r="10" spans="3:5" x14ac:dyDescent="0.2">
      <c r="C10">
        <f>D7*(E2/D2)*(E3/D3)*(E4/D4)*(D6/E6)</f>
        <v>226.77966101694921</v>
      </c>
    </row>
    <row r="19" spans="4:4" x14ac:dyDescent="0.2">
      <c r="D19" t="s">
        <v>90</v>
      </c>
    </row>
    <row r="20" spans="4:4" x14ac:dyDescent="0.2">
      <c r="D20" t="s">
        <v>83</v>
      </c>
    </row>
    <row r="21" spans="4:4" x14ac:dyDescent="0.2">
      <c r="D21" t="s">
        <v>84</v>
      </c>
    </row>
    <row r="22" spans="4:4" x14ac:dyDescent="0.2">
      <c r="D22" t="s">
        <v>85</v>
      </c>
    </row>
    <row r="23" spans="4:4" x14ac:dyDescent="0.2">
      <c r="D23" t="s">
        <v>86</v>
      </c>
    </row>
    <row r="24" spans="4:4" x14ac:dyDescent="0.2">
      <c r="D24" t="s">
        <v>87</v>
      </c>
    </row>
    <row r="25" spans="4:4" x14ac:dyDescent="0.2">
      <c r="D25" t="s">
        <v>88</v>
      </c>
    </row>
    <row r="26" spans="4:4" x14ac:dyDescent="0.2">
      <c r="D26" t="s">
        <v>89</v>
      </c>
    </row>
    <row r="27" spans="4:4" x14ac:dyDescent="0.2">
      <c r="D27" t="s">
        <v>91</v>
      </c>
    </row>
    <row r="28" spans="4:4" x14ac:dyDescent="0.2">
      <c r="D28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43D52-F904-4B40-911F-F7D89998CF7C}">
  <dimension ref="B1:AN94"/>
  <sheetViews>
    <sheetView topLeftCell="A4" workbookViewId="0">
      <selection activeCell="J52" sqref="J52"/>
    </sheetView>
  </sheetViews>
  <sheetFormatPr baseColWidth="10" defaultRowHeight="16" x14ac:dyDescent="0.2"/>
  <cols>
    <col min="2" max="2" width="22.1640625" bestFit="1" customWidth="1"/>
    <col min="3" max="3" width="10.33203125" customWidth="1"/>
    <col min="4" max="4" width="12.1640625" bestFit="1" customWidth="1"/>
    <col min="5" max="5" width="19.83203125" bestFit="1" customWidth="1"/>
    <col min="6" max="6" width="20.1640625" bestFit="1" customWidth="1"/>
    <col min="7" max="7" width="15.6640625" bestFit="1" customWidth="1"/>
  </cols>
  <sheetData>
    <row r="1" spans="2:7" x14ac:dyDescent="0.2">
      <c r="B1" t="s">
        <v>49</v>
      </c>
    </row>
    <row r="2" spans="2:7" x14ac:dyDescent="0.2">
      <c r="B2" t="s">
        <v>93</v>
      </c>
      <c r="C2" t="s">
        <v>96</v>
      </c>
      <c r="D2" t="s">
        <v>97</v>
      </c>
      <c r="E2" t="s">
        <v>94</v>
      </c>
      <c r="F2" t="s">
        <v>95</v>
      </c>
      <c r="G2" t="s">
        <v>98</v>
      </c>
    </row>
    <row r="3" spans="2:7" x14ac:dyDescent="0.2">
      <c r="B3" t="s">
        <v>99</v>
      </c>
      <c r="C3">
        <v>642</v>
      </c>
      <c r="E3">
        <v>30000</v>
      </c>
      <c r="F3">
        <v>30000</v>
      </c>
      <c r="G3" t="s">
        <v>105</v>
      </c>
    </row>
    <row r="4" spans="2:7" x14ac:dyDescent="0.2">
      <c r="B4" t="s">
        <v>100</v>
      </c>
      <c r="C4">
        <v>640</v>
      </c>
      <c r="E4">
        <v>14700</v>
      </c>
      <c r="F4">
        <v>30000</v>
      </c>
    </row>
    <row r="5" spans="2:7" x14ac:dyDescent="0.2">
      <c r="B5" t="s">
        <v>101</v>
      </c>
      <c r="C5">
        <v>624.9</v>
      </c>
      <c r="E5">
        <v>0</v>
      </c>
      <c r="F5">
        <v>14700</v>
      </c>
      <c r="G5" s="14" t="s">
        <v>107</v>
      </c>
    </row>
    <row r="6" spans="2:7" x14ac:dyDescent="0.2">
      <c r="B6" t="s">
        <v>102</v>
      </c>
      <c r="C6">
        <v>590</v>
      </c>
      <c r="E6">
        <v>0</v>
      </c>
      <c r="F6">
        <v>4320</v>
      </c>
    </row>
    <row r="7" spans="2:7" x14ac:dyDescent="0.2">
      <c r="B7" t="s">
        <v>103</v>
      </c>
      <c r="C7">
        <v>560</v>
      </c>
      <c r="E7">
        <v>0</v>
      </c>
    </row>
    <row r="8" spans="2:7" x14ac:dyDescent="0.2">
      <c r="B8" t="s">
        <v>104</v>
      </c>
      <c r="C8">
        <v>542.5</v>
      </c>
      <c r="E8">
        <v>0</v>
      </c>
    </row>
    <row r="9" spans="2:7" x14ac:dyDescent="0.2">
      <c r="B9" t="s">
        <v>106</v>
      </c>
      <c r="C9">
        <v>500</v>
      </c>
      <c r="E9">
        <v>0</v>
      </c>
      <c r="F9">
        <v>0</v>
      </c>
    </row>
    <row r="11" spans="2:7" x14ac:dyDescent="0.2">
      <c r="B11" t="s">
        <v>108</v>
      </c>
    </row>
    <row r="12" spans="2:7" x14ac:dyDescent="0.2">
      <c r="B12" s="14" t="s">
        <v>109</v>
      </c>
    </row>
    <row r="13" spans="2:7" x14ac:dyDescent="0.2">
      <c r="B13" s="14"/>
      <c r="C13" t="s">
        <v>113</v>
      </c>
      <c r="D13" t="s">
        <v>112</v>
      </c>
      <c r="E13" t="s">
        <v>111</v>
      </c>
      <c r="F13" t="s">
        <v>110</v>
      </c>
    </row>
    <row r="14" spans="2:7" x14ac:dyDescent="0.2">
      <c r="C14">
        <v>500</v>
      </c>
      <c r="D14">
        <v>0</v>
      </c>
      <c r="E14">
        <v>0</v>
      </c>
      <c r="F14">
        <v>0</v>
      </c>
    </row>
    <row r="15" spans="2:7" x14ac:dyDescent="0.2">
      <c r="C15">
        <v>557</v>
      </c>
      <c r="D15">
        <v>2700000000</v>
      </c>
      <c r="E15">
        <v>0</v>
      </c>
      <c r="F15">
        <v>0</v>
      </c>
    </row>
    <row r="16" spans="2:7" x14ac:dyDescent="0.2">
      <c r="C16">
        <v>560</v>
      </c>
      <c r="D16">
        <v>3000000000</v>
      </c>
      <c r="E16">
        <v>0</v>
      </c>
      <c r="F16">
        <v>1134</v>
      </c>
    </row>
    <row r="17" spans="2:25" x14ac:dyDescent="0.2">
      <c r="C17">
        <v>567</v>
      </c>
      <c r="D17">
        <v>5100000000</v>
      </c>
      <c r="E17">
        <v>0</v>
      </c>
      <c r="F17">
        <v>1336</v>
      </c>
    </row>
    <row r="18" spans="2:25" x14ac:dyDescent="0.2">
      <c r="C18">
        <v>577</v>
      </c>
      <c r="D18">
        <v>8660000000</v>
      </c>
      <c r="E18">
        <v>0</v>
      </c>
      <c r="F18">
        <v>1581</v>
      </c>
      <c r="K18">
        <v>500</v>
      </c>
      <c r="L18">
        <v>557</v>
      </c>
      <c r="M18">
        <v>560</v>
      </c>
      <c r="N18">
        <v>567</v>
      </c>
      <c r="O18">
        <v>577</v>
      </c>
      <c r="P18">
        <v>587</v>
      </c>
      <c r="Q18">
        <v>590</v>
      </c>
      <c r="R18">
        <v>597</v>
      </c>
      <c r="S18">
        <v>607</v>
      </c>
      <c r="T18">
        <v>617</v>
      </c>
      <c r="U18">
        <v>627</v>
      </c>
      <c r="V18">
        <v>637</v>
      </c>
      <c r="W18">
        <v>640</v>
      </c>
      <c r="X18">
        <v>641</v>
      </c>
      <c r="Y18">
        <v>642</v>
      </c>
    </row>
    <row r="19" spans="2:25" x14ac:dyDescent="0.2">
      <c r="C19">
        <v>587</v>
      </c>
      <c r="D19">
        <v>13440000000</v>
      </c>
      <c r="E19">
        <v>0</v>
      </c>
      <c r="F19">
        <v>1792</v>
      </c>
      <c r="K19">
        <v>0</v>
      </c>
      <c r="L19">
        <v>2700000000</v>
      </c>
      <c r="M19">
        <v>3000000000</v>
      </c>
      <c r="N19">
        <v>5100000000</v>
      </c>
      <c r="O19">
        <v>8660000000</v>
      </c>
      <c r="P19">
        <v>13440000000</v>
      </c>
      <c r="Q19">
        <v>15000000000</v>
      </c>
      <c r="R19">
        <v>19550000000</v>
      </c>
      <c r="S19">
        <v>28150000000</v>
      </c>
      <c r="T19">
        <v>39050000000</v>
      </c>
      <c r="U19">
        <v>52650000000</v>
      </c>
      <c r="V19">
        <v>68900000000</v>
      </c>
      <c r="W19">
        <v>74000000000</v>
      </c>
      <c r="X19">
        <v>76000000000</v>
      </c>
      <c r="Y19">
        <v>78000000000</v>
      </c>
    </row>
    <row r="20" spans="2:25" x14ac:dyDescent="0.2">
      <c r="C20">
        <v>590</v>
      </c>
      <c r="D20">
        <v>15000000000</v>
      </c>
      <c r="E20">
        <v>0</v>
      </c>
      <c r="F20">
        <v>12095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14700</v>
      </c>
      <c r="X20">
        <v>14700</v>
      </c>
      <c r="Y20">
        <v>30000</v>
      </c>
    </row>
    <row r="21" spans="2:25" x14ac:dyDescent="0.2">
      <c r="C21">
        <v>597</v>
      </c>
      <c r="D21">
        <v>19550000000</v>
      </c>
      <c r="E21">
        <v>0</v>
      </c>
      <c r="F21">
        <v>13358</v>
      </c>
      <c r="K21">
        <v>0</v>
      </c>
      <c r="L21">
        <v>0</v>
      </c>
      <c r="M21">
        <v>1134</v>
      </c>
      <c r="N21">
        <v>1336</v>
      </c>
      <c r="O21">
        <v>1581</v>
      </c>
      <c r="P21">
        <v>1792</v>
      </c>
      <c r="Q21">
        <v>12095</v>
      </c>
      <c r="R21">
        <v>13358</v>
      </c>
      <c r="S21">
        <v>14976</v>
      </c>
      <c r="T21">
        <v>16434</v>
      </c>
      <c r="U21">
        <v>17772</v>
      </c>
      <c r="V21">
        <v>19015</v>
      </c>
      <c r="W21">
        <v>19373</v>
      </c>
      <c r="X21">
        <v>19786</v>
      </c>
      <c r="Y21">
        <v>30000</v>
      </c>
    </row>
    <row r="22" spans="2:25" x14ac:dyDescent="0.2">
      <c r="C22">
        <v>607</v>
      </c>
      <c r="D22">
        <v>28150000000</v>
      </c>
      <c r="E22">
        <v>0</v>
      </c>
      <c r="F22">
        <v>14976</v>
      </c>
    </row>
    <row r="23" spans="2:25" x14ac:dyDescent="0.2">
      <c r="C23">
        <v>617</v>
      </c>
      <c r="D23">
        <v>39050000000</v>
      </c>
      <c r="E23">
        <v>0</v>
      </c>
      <c r="F23">
        <v>16434</v>
      </c>
    </row>
    <row r="24" spans="2:25" x14ac:dyDescent="0.2">
      <c r="C24">
        <v>627</v>
      </c>
      <c r="D24">
        <v>52650000000</v>
      </c>
      <c r="E24">
        <v>0</v>
      </c>
      <c r="F24">
        <v>17772</v>
      </c>
    </row>
    <row r="25" spans="2:25" x14ac:dyDescent="0.2">
      <c r="C25">
        <v>637</v>
      </c>
      <c r="D25">
        <v>68900000000</v>
      </c>
      <c r="E25">
        <v>0</v>
      </c>
      <c r="F25">
        <v>19015</v>
      </c>
    </row>
    <row r="26" spans="2:25" x14ac:dyDescent="0.2">
      <c r="C26">
        <v>640</v>
      </c>
      <c r="D26">
        <v>74000000000</v>
      </c>
      <c r="E26">
        <v>14700</v>
      </c>
      <c r="F26">
        <v>19373</v>
      </c>
    </row>
    <row r="27" spans="2:25" x14ac:dyDescent="0.2">
      <c r="C27">
        <v>641</v>
      </c>
      <c r="D27">
        <v>76000000000</v>
      </c>
      <c r="E27">
        <v>14700</v>
      </c>
      <c r="F27">
        <v>19786</v>
      </c>
    </row>
    <row r="28" spans="2:25" x14ac:dyDescent="0.2">
      <c r="C28">
        <v>642</v>
      </c>
      <c r="D28">
        <v>78000000000</v>
      </c>
      <c r="E28">
        <v>30000</v>
      </c>
      <c r="F28">
        <v>30000</v>
      </c>
    </row>
    <row r="32" spans="2:25" x14ac:dyDescent="0.2">
      <c r="B32" t="s">
        <v>53</v>
      </c>
      <c r="E32" t="s">
        <v>114</v>
      </c>
    </row>
    <row r="33" spans="3:40" x14ac:dyDescent="0.2">
      <c r="C33" t="s">
        <v>113</v>
      </c>
      <c r="D33" t="s">
        <v>112</v>
      </c>
      <c r="E33" t="s">
        <v>111</v>
      </c>
      <c r="F33" t="s">
        <v>110</v>
      </c>
    </row>
    <row r="34" spans="3:40" x14ac:dyDescent="0.2">
      <c r="C34">
        <v>465</v>
      </c>
      <c r="D34">
        <v>0</v>
      </c>
      <c r="E34">
        <v>0</v>
      </c>
      <c r="F34">
        <v>0</v>
      </c>
    </row>
    <row r="35" spans="3:40" x14ac:dyDescent="0.2">
      <c r="C35">
        <v>467</v>
      </c>
      <c r="D35">
        <v>27000000</v>
      </c>
      <c r="E35">
        <v>0</v>
      </c>
      <c r="F35">
        <v>0</v>
      </c>
      <c r="K35">
        <v>465</v>
      </c>
      <c r="L35">
        <v>467</v>
      </c>
      <c r="M35" s="16">
        <v>467.7</v>
      </c>
      <c r="N35" s="16">
        <v>468</v>
      </c>
      <c r="O35" s="16">
        <v>468.5</v>
      </c>
      <c r="P35" s="16">
        <v>469</v>
      </c>
      <c r="Q35" s="16">
        <v>470</v>
      </c>
      <c r="R35" s="16">
        <v>471</v>
      </c>
      <c r="S35" s="16">
        <v>472</v>
      </c>
      <c r="T35" s="16">
        <v>473</v>
      </c>
      <c r="U35" s="16">
        <v>474</v>
      </c>
      <c r="V35" s="16">
        <v>475</v>
      </c>
      <c r="W35" s="16">
        <v>476</v>
      </c>
      <c r="X35" s="16">
        <v>477</v>
      </c>
      <c r="Y35" s="16">
        <v>478</v>
      </c>
      <c r="Z35" s="16">
        <v>478.5</v>
      </c>
      <c r="AA35" s="16">
        <v>479</v>
      </c>
      <c r="AB35" s="16">
        <v>479.5</v>
      </c>
      <c r="AC35" s="16">
        <v>480</v>
      </c>
      <c r="AD35" s="16">
        <v>480.5</v>
      </c>
      <c r="AE35" s="16">
        <v>481</v>
      </c>
      <c r="AF35" s="16">
        <v>482</v>
      </c>
      <c r="AG35" s="16">
        <v>483</v>
      </c>
      <c r="AH35" s="16">
        <v>484</v>
      </c>
      <c r="AI35" s="16">
        <v>485</v>
      </c>
      <c r="AJ35" s="16">
        <v>486</v>
      </c>
      <c r="AK35" s="16">
        <v>487</v>
      </c>
      <c r="AL35" s="16">
        <v>488</v>
      </c>
      <c r="AM35" s="16">
        <v>489</v>
      </c>
      <c r="AN35" s="16">
        <v>490</v>
      </c>
    </row>
    <row r="36" spans="3:40" x14ac:dyDescent="0.2">
      <c r="C36" s="16">
        <v>467.7</v>
      </c>
      <c r="D36">
        <v>46000000</v>
      </c>
      <c r="E36">
        <v>0</v>
      </c>
      <c r="F36" s="15">
        <v>6807.8703703703704</v>
      </c>
      <c r="K36">
        <v>0</v>
      </c>
      <c r="L36">
        <v>27000000</v>
      </c>
      <c r="M36">
        <v>46000000</v>
      </c>
      <c r="N36">
        <v>56000000</v>
      </c>
      <c r="O36">
        <v>75000000</v>
      </c>
      <c r="P36">
        <v>98000000</v>
      </c>
      <c r="Q36">
        <v>156000000</v>
      </c>
      <c r="R36">
        <v>230000000</v>
      </c>
      <c r="S36">
        <v>321000000</v>
      </c>
      <c r="T36">
        <v>429000000</v>
      </c>
      <c r="U36">
        <v>555000000</v>
      </c>
      <c r="V36">
        <v>699000000</v>
      </c>
      <c r="W36">
        <v>862000000</v>
      </c>
      <c r="X36">
        <v>1044000000</v>
      </c>
      <c r="Y36">
        <v>1246000000</v>
      </c>
      <c r="Z36">
        <v>1354000000</v>
      </c>
      <c r="AA36">
        <v>1467000000</v>
      </c>
      <c r="AB36">
        <v>1585000000</v>
      </c>
      <c r="AC36">
        <v>1708000000</v>
      </c>
      <c r="AD36">
        <v>1836000000</v>
      </c>
      <c r="AE36">
        <v>1970000000</v>
      </c>
      <c r="AF36">
        <v>2290000000</v>
      </c>
      <c r="AG36">
        <v>2645000000</v>
      </c>
      <c r="AH36">
        <v>3035000000</v>
      </c>
      <c r="AI36">
        <v>3461000000</v>
      </c>
      <c r="AJ36">
        <v>3922000000</v>
      </c>
      <c r="AK36">
        <v>4415000000</v>
      </c>
      <c r="AL36">
        <v>4941000000</v>
      </c>
      <c r="AM36">
        <v>5500000000</v>
      </c>
      <c r="AN36">
        <v>6095000000</v>
      </c>
    </row>
    <row r="37" spans="3:40" x14ac:dyDescent="0.2">
      <c r="C37" s="16">
        <v>468</v>
      </c>
      <c r="D37">
        <v>56000000</v>
      </c>
      <c r="E37">
        <v>0</v>
      </c>
      <c r="F37" s="15">
        <v>6942.1296296296287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10000</v>
      </c>
      <c r="AM37">
        <v>10000</v>
      </c>
      <c r="AN37">
        <v>10000</v>
      </c>
    </row>
    <row r="38" spans="3:40" x14ac:dyDescent="0.2">
      <c r="C38" s="16">
        <v>468.5</v>
      </c>
      <c r="D38">
        <v>75000000</v>
      </c>
      <c r="E38">
        <v>0</v>
      </c>
      <c r="F38" s="15">
        <v>7218.75</v>
      </c>
      <c r="K38">
        <v>0</v>
      </c>
      <c r="L38">
        <v>0</v>
      </c>
      <c r="M38" s="15">
        <v>6807.8703703703704</v>
      </c>
      <c r="N38" s="15">
        <v>6942.1296296296287</v>
      </c>
      <c r="O38" s="15">
        <v>7218.75</v>
      </c>
      <c r="P38" s="15">
        <v>7496.5277777777783</v>
      </c>
      <c r="Q38" s="15">
        <v>8167.8240740740739</v>
      </c>
      <c r="R38" s="15">
        <v>8788.1944444444434</v>
      </c>
      <c r="S38" s="15">
        <v>9575.2314814814799</v>
      </c>
      <c r="T38" s="15">
        <v>10253.472222222221</v>
      </c>
      <c r="U38" s="15">
        <v>11098.37962962963</v>
      </c>
      <c r="V38" s="15">
        <v>11892.361111111111</v>
      </c>
      <c r="W38" s="15">
        <v>12687.5</v>
      </c>
      <c r="X38" s="15">
        <v>13646.990740740739</v>
      </c>
      <c r="Y38" s="15">
        <v>14557.870370370369</v>
      </c>
      <c r="Z38" s="15">
        <v>15070.60185185185</v>
      </c>
      <c r="AA38" s="15">
        <v>15583.333333333334</v>
      </c>
      <c r="AB38" s="15">
        <v>16096.064814814814</v>
      </c>
      <c r="AC38" s="15">
        <v>16608.796296296296</v>
      </c>
      <c r="AD38" s="15">
        <v>17146.990740740741</v>
      </c>
      <c r="AE38" s="15">
        <v>17685.185185185182</v>
      </c>
      <c r="AF38" s="15">
        <v>17686.342592592591</v>
      </c>
      <c r="AG38" s="15">
        <v>17687.5</v>
      </c>
      <c r="AH38" s="15">
        <v>17688.657407407405</v>
      </c>
      <c r="AI38" s="15">
        <v>17689.814814814814</v>
      </c>
      <c r="AJ38" s="15">
        <v>17690.972222222223</v>
      </c>
      <c r="AK38" s="15">
        <v>17692.129629629628</v>
      </c>
      <c r="AL38" s="15">
        <v>17693.287037037036</v>
      </c>
      <c r="AM38" s="15">
        <v>17694.444444444442</v>
      </c>
      <c r="AN38" s="15">
        <v>17695.60185185185</v>
      </c>
    </row>
    <row r="39" spans="3:40" x14ac:dyDescent="0.2">
      <c r="C39" s="16">
        <v>469</v>
      </c>
      <c r="D39">
        <v>98000000</v>
      </c>
      <c r="E39">
        <v>0</v>
      </c>
      <c r="F39" s="15">
        <v>7496.5277777777783</v>
      </c>
    </row>
    <row r="40" spans="3:40" x14ac:dyDescent="0.2">
      <c r="C40" s="16">
        <v>470</v>
      </c>
      <c r="D40">
        <v>156000000</v>
      </c>
      <c r="E40">
        <v>0</v>
      </c>
      <c r="F40" s="15">
        <v>8167.8240740740739</v>
      </c>
    </row>
    <row r="41" spans="3:40" x14ac:dyDescent="0.2">
      <c r="C41" s="16">
        <v>471</v>
      </c>
      <c r="D41">
        <v>230000000</v>
      </c>
      <c r="E41">
        <v>0</v>
      </c>
      <c r="F41" s="15">
        <v>8788.1944444444434</v>
      </c>
    </row>
    <row r="42" spans="3:40" x14ac:dyDescent="0.2">
      <c r="C42" s="16">
        <v>472</v>
      </c>
      <c r="D42">
        <v>321000000</v>
      </c>
      <c r="E42">
        <v>0</v>
      </c>
      <c r="F42" s="15">
        <v>9575.2314814814799</v>
      </c>
    </row>
    <row r="43" spans="3:40" x14ac:dyDescent="0.2">
      <c r="C43" s="16">
        <v>473</v>
      </c>
      <c r="D43">
        <v>429000000</v>
      </c>
      <c r="E43">
        <v>0</v>
      </c>
      <c r="F43" s="15">
        <v>10253.472222222221</v>
      </c>
    </row>
    <row r="44" spans="3:40" x14ac:dyDescent="0.2">
      <c r="C44" s="16">
        <v>474</v>
      </c>
      <c r="D44">
        <v>555000000</v>
      </c>
      <c r="E44">
        <v>0</v>
      </c>
      <c r="F44" s="15">
        <v>11098.37962962963</v>
      </c>
    </row>
    <row r="45" spans="3:40" x14ac:dyDescent="0.2">
      <c r="C45" s="16">
        <v>475</v>
      </c>
      <c r="D45">
        <v>699000000</v>
      </c>
      <c r="E45">
        <v>0</v>
      </c>
      <c r="F45" s="15">
        <v>11892.361111111111</v>
      </c>
    </row>
    <row r="46" spans="3:40" x14ac:dyDescent="0.2">
      <c r="C46" s="16">
        <v>476</v>
      </c>
      <c r="D46">
        <v>862000000</v>
      </c>
      <c r="E46">
        <v>0</v>
      </c>
      <c r="F46" s="15">
        <v>12687.5</v>
      </c>
    </row>
    <row r="47" spans="3:40" x14ac:dyDescent="0.2">
      <c r="C47" s="16">
        <v>477</v>
      </c>
      <c r="D47">
        <v>1044000000</v>
      </c>
      <c r="E47">
        <v>0</v>
      </c>
      <c r="F47" s="15">
        <v>13646.990740740739</v>
      </c>
    </row>
    <row r="48" spans="3:40" x14ac:dyDescent="0.2">
      <c r="C48" s="16">
        <v>478</v>
      </c>
      <c r="D48">
        <v>1246000000</v>
      </c>
      <c r="E48">
        <v>0</v>
      </c>
      <c r="F48" s="15">
        <v>14557.870370370369</v>
      </c>
    </row>
    <row r="49" spans="3:6" x14ac:dyDescent="0.2">
      <c r="C49" s="16">
        <v>478.5</v>
      </c>
      <c r="D49">
        <v>1354000000</v>
      </c>
      <c r="E49">
        <v>0</v>
      </c>
      <c r="F49" s="15">
        <v>15070.60185185185</v>
      </c>
    </row>
    <row r="50" spans="3:6" x14ac:dyDescent="0.2">
      <c r="C50" s="16">
        <v>479</v>
      </c>
      <c r="D50">
        <v>1467000000</v>
      </c>
      <c r="E50">
        <v>0</v>
      </c>
      <c r="F50" s="15">
        <v>15583.333333333334</v>
      </c>
    </row>
    <row r="51" spans="3:6" x14ac:dyDescent="0.2">
      <c r="C51" s="16">
        <v>479.5</v>
      </c>
      <c r="D51">
        <v>1585000000</v>
      </c>
      <c r="E51">
        <v>0</v>
      </c>
      <c r="F51" s="15">
        <v>16096.064814814814</v>
      </c>
    </row>
    <row r="52" spans="3:6" x14ac:dyDescent="0.2">
      <c r="C52" s="16">
        <v>480</v>
      </c>
      <c r="D52">
        <v>1708000000</v>
      </c>
      <c r="E52">
        <v>0</v>
      </c>
      <c r="F52" s="15">
        <v>16608.796296296296</v>
      </c>
    </row>
    <row r="53" spans="3:6" x14ac:dyDescent="0.2">
      <c r="C53" s="16">
        <v>480.5</v>
      </c>
      <c r="D53">
        <v>1836000000</v>
      </c>
      <c r="E53">
        <v>0</v>
      </c>
      <c r="F53" s="15">
        <v>17146.990740740741</v>
      </c>
    </row>
    <row r="54" spans="3:6" x14ac:dyDescent="0.2">
      <c r="C54" s="16">
        <v>481</v>
      </c>
      <c r="D54">
        <v>1970000000</v>
      </c>
      <c r="E54">
        <v>0</v>
      </c>
      <c r="F54" s="15">
        <v>17685.185185185182</v>
      </c>
    </row>
    <row r="55" spans="3:6" x14ac:dyDescent="0.2">
      <c r="C55" s="16">
        <v>482</v>
      </c>
      <c r="D55">
        <v>2290000000</v>
      </c>
      <c r="E55">
        <v>0</v>
      </c>
      <c r="F55" s="15">
        <v>17686.342592592591</v>
      </c>
    </row>
    <row r="56" spans="3:6" x14ac:dyDescent="0.2">
      <c r="C56" s="16">
        <v>483</v>
      </c>
      <c r="D56">
        <v>2645000000</v>
      </c>
      <c r="E56">
        <v>0</v>
      </c>
      <c r="F56" s="15">
        <v>17687.5</v>
      </c>
    </row>
    <row r="57" spans="3:6" x14ac:dyDescent="0.2">
      <c r="C57" s="16">
        <v>484</v>
      </c>
      <c r="D57">
        <v>3035000000</v>
      </c>
      <c r="E57">
        <v>0</v>
      </c>
      <c r="F57" s="15">
        <v>17688.657407407405</v>
      </c>
    </row>
    <row r="58" spans="3:6" x14ac:dyDescent="0.2">
      <c r="C58" s="16">
        <v>485</v>
      </c>
      <c r="D58">
        <v>3461000000</v>
      </c>
      <c r="E58">
        <v>0</v>
      </c>
      <c r="F58" s="15">
        <v>17689.814814814814</v>
      </c>
    </row>
    <row r="59" spans="3:6" x14ac:dyDescent="0.2">
      <c r="C59" s="16">
        <v>486</v>
      </c>
      <c r="D59">
        <v>3922000000</v>
      </c>
      <c r="E59">
        <v>0</v>
      </c>
      <c r="F59" s="15">
        <v>17690.972222222223</v>
      </c>
    </row>
    <row r="60" spans="3:6" x14ac:dyDescent="0.2">
      <c r="C60" s="16">
        <v>487</v>
      </c>
      <c r="D60">
        <v>4415000000</v>
      </c>
      <c r="E60">
        <v>0</v>
      </c>
      <c r="F60" s="15">
        <v>17692.129629629628</v>
      </c>
    </row>
    <row r="61" spans="3:6" x14ac:dyDescent="0.2">
      <c r="C61" s="16">
        <v>488</v>
      </c>
      <c r="D61">
        <v>4941000000</v>
      </c>
      <c r="E61">
        <v>4000</v>
      </c>
      <c r="F61" s="15">
        <v>17693.287037037036</v>
      </c>
    </row>
    <row r="62" spans="3:6" x14ac:dyDescent="0.2">
      <c r="C62" s="16">
        <v>489</v>
      </c>
      <c r="D62">
        <v>5500000000</v>
      </c>
      <c r="E62">
        <v>4000</v>
      </c>
      <c r="F62" s="15">
        <v>17694.444444444442</v>
      </c>
    </row>
    <row r="63" spans="3:6" x14ac:dyDescent="0.2">
      <c r="C63" s="16">
        <v>490</v>
      </c>
      <c r="D63">
        <v>6095000000</v>
      </c>
      <c r="E63">
        <v>4000</v>
      </c>
      <c r="F63" s="15">
        <v>17695.60185185185</v>
      </c>
    </row>
    <row r="67" spans="2:14" x14ac:dyDescent="0.2">
      <c r="B67" t="s">
        <v>50</v>
      </c>
    </row>
    <row r="68" spans="2:14" x14ac:dyDescent="0.2">
      <c r="C68" t="s">
        <v>96</v>
      </c>
      <c r="E68" t="s">
        <v>111</v>
      </c>
      <c r="F68" t="s">
        <v>110</v>
      </c>
      <c r="K68">
        <v>415</v>
      </c>
      <c r="L68">
        <v>417</v>
      </c>
      <c r="M68">
        <v>417.2</v>
      </c>
      <c r="N68">
        <v>421.7</v>
      </c>
    </row>
    <row r="69" spans="2:14" x14ac:dyDescent="0.2">
      <c r="C69">
        <v>415</v>
      </c>
      <c r="D69">
        <v>17600000</v>
      </c>
      <c r="E69">
        <v>0</v>
      </c>
      <c r="F69">
        <v>0</v>
      </c>
      <c r="K69">
        <v>17600000</v>
      </c>
      <c r="L69">
        <v>67900000</v>
      </c>
      <c r="M69">
        <v>76033333.333332494</v>
      </c>
      <c r="N69">
        <v>481200000</v>
      </c>
    </row>
    <row r="70" spans="2:14" x14ac:dyDescent="0.2">
      <c r="C70">
        <v>417</v>
      </c>
      <c r="D70">
        <v>67900000</v>
      </c>
      <c r="E70">
        <v>0</v>
      </c>
      <c r="F70">
        <v>0</v>
      </c>
      <c r="K70">
        <v>0</v>
      </c>
      <c r="L70">
        <v>0</v>
      </c>
      <c r="M70">
        <v>0</v>
      </c>
      <c r="N70">
        <v>4000</v>
      </c>
    </row>
    <row r="71" spans="2:14" x14ac:dyDescent="0.2">
      <c r="C71">
        <v>417.2</v>
      </c>
      <c r="D71">
        <v>76033333.333332494</v>
      </c>
      <c r="E71">
        <v>0</v>
      </c>
      <c r="F71">
        <v>11000</v>
      </c>
      <c r="K71">
        <v>0</v>
      </c>
      <c r="L71">
        <v>0</v>
      </c>
      <c r="M71">
        <v>11000</v>
      </c>
      <c r="N71">
        <v>17000</v>
      </c>
    </row>
    <row r="72" spans="2:14" x14ac:dyDescent="0.2">
      <c r="C72">
        <v>421.7</v>
      </c>
      <c r="D72">
        <v>481200000</v>
      </c>
      <c r="E72">
        <v>4000</v>
      </c>
      <c r="F72">
        <v>17000</v>
      </c>
    </row>
    <row r="79" spans="2:14" x14ac:dyDescent="0.2">
      <c r="B79" t="s">
        <v>51</v>
      </c>
      <c r="E79" t="s">
        <v>116</v>
      </c>
      <c r="F79" t="s">
        <v>115</v>
      </c>
    </row>
    <row r="80" spans="2:14" x14ac:dyDescent="0.2">
      <c r="C80" t="s">
        <v>96</v>
      </c>
      <c r="E80" t="s">
        <v>111</v>
      </c>
      <c r="F80" t="s">
        <v>110</v>
      </c>
    </row>
    <row r="81" spans="2:15" x14ac:dyDescent="0.2">
      <c r="C81">
        <v>110</v>
      </c>
      <c r="D81">
        <v>0</v>
      </c>
      <c r="E81">
        <v>0</v>
      </c>
      <c r="F81">
        <v>0</v>
      </c>
      <c r="K81">
        <v>110</v>
      </c>
      <c r="L81">
        <v>147</v>
      </c>
      <c r="M81">
        <v>178</v>
      </c>
      <c r="N81">
        <v>182</v>
      </c>
    </row>
    <row r="82" spans="2:15" x14ac:dyDescent="0.2">
      <c r="C82">
        <v>147</v>
      </c>
      <c r="D82">
        <v>31860000000</v>
      </c>
      <c r="E82">
        <v>0</v>
      </c>
      <c r="F82">
        <v>0</v>
      </c>
      <c r="K82">
        <v>0</v>
      </c>
      <c r="L82">
        <v>31860000000</v>
      </c>
      <c r="M82">
        <v>138220000000</v>
      </c>
      <c r="N82">
        <v>162780000000</v>
      </c>
    </row>
    <row r="83" spans="2:15" x14ac:dyDescent="0.2">
      <c r="C83">
        <v>178</v>
      </c>
      <c r="D83">
        <v>138220000000</v>
      </c>
      <c r="E83">
        <v>2000</v>
      </c>
      <c r="F83">
        <v>9000</v>
      </c>
      <c r="K83">
        <v>0</v>
      </c>
      <c r="L83">
        <v>0</v>
      </c>
      <c r="M83">
        <v>2000</v>
      </c>
      <c r="N83">
        <v>4000</v>
      </c>
    </row>
    <row r="84" spans="2:15" x14ac:dyDescent="0.2">
      <c r="C84">
        <v>182</v>
      </c>
      <c r="D84">
        <v>162780000000</v>
      </c>
      <c r="E84">
        <v>4000</v>
      </c>
      <c r="F84">
        <v>11000</v>
      </c>
      <c r="K84">
        <v>0</v>
      </c>
      <c r="L84">
        <v>0</v>
      </c>
      <c r="M84">
        <v>9000</v>
      </c>
      <c r="N84">
        <v>11000</v>
      </c>
    </row>
    <row r="88" spans="2:15" x14ac:dyDescent="0.2">
      <c r="B88" t="s">
        <v>73</v>
      </c>
    </row>
    <row r="90" spans="2:15" x14ac:dyDescent="0.2">
      <c r="C90">
        <v>244</v>
      </c>
      <c r="D90">
        <v>0</v>
      </c>
      <c r="E90">
        <v>0</v>
      </c>
      <c r="F90">
        <v>0</v>
      </c>
      <c r="K90">
        <v>244</v>
      </c>
      <c r="L90">
        <v>284.89999999999998</v>
      </c>
      <c r="M90">
        <v>285</v>
      </c>
      <c r="N90">
        <v>297</v>
      </c>
      <c r="O90">
        <v>300</v>
      </c>
    </row>
    <row r="91" spans="2:15" x14ac:dyDescent="0.2">
      <c r="C91">
        <v>284.89999999999998</v>
      </c>
      <c r="D91">
        <v>4187754999.99999</v>
      </c>
      <c r="E91">
        <v>0</v>
      </c>
      <c r="F91">
        <v>0</v>
      </c>
      <c r="K91">
        <v>0</v>
      </c>
      <c r="L91">
        <v>4187754999.99999</v>
      </c>
      <c r="M91">
        <v>4223250000</v>
      </c>
      <c r="N91">
        <v>10232650000</v>
      </c>
      <c r="O91">
        <v>12395500000</v>
      </c>
    </row>
    <row r="92" spans="2:15" x14ac:dyDescent="0.2">
      <c r="C92">
        <v>285</v>
      </c>
      <c r="D92">
        <v>4223250000</v>
      </c>
      <c r="E92">
        <v>0</v>
      </c>
      <c r="F92">
        <v>3000</v>
      </c>
      <c r="K92">
        <v>0</v>
      </c>
      <c r="L92">
        <v>0</v>
      </c>
      <c r="M92">
        <v>0</v>
      </c>
      <c r="N92">
        <v>4000</v>
      </c>
      <c r="O92">
        <v>4000</v>
      </c>
    </row>
    <row r="93" spans="2:15" x14ac:dyDescent="0.2">
      <c r="C93">
        <v>297</v>
      </c>
      <c r="D93">
        <v>10232650000</v>
      </c>
      <c r="E93">
        <v>4000</v>
      </c>
      <c r="F93">
        <v>15000</v>
      </c>
      <c r="K93">
        <v>0</v>
      </c>
      <c r="L93">
        <v>0</v>
      </c>
      <c r="M93">
        <v>3000</v>
      </c>
      <c r="N93">
        <v>15000</v>
      </c>
      <c r="O93">
        <v>19900</v>
      </c>
    </row>
    <row r="94" spans="2:15" x14ac:dyDescent="0.2">
      <c r="C94">
        <v>300</v>
      </c>
      <c r="D94">
        <v>12395500000</v>
      </c>
      <c r="E94">
        <v>4000</v>
      </c>
      <c r="F94">
        <v>19900</v>
      </c>
    </row>
  </sheetData>
  <sortState xmlns:xlrd2="http://schemas.microsoft.com/office/spreadsheetml/2017/richdata2" ref="C14:G28">
    <sortCondition descending="1" ref="G14:G28"/>
  </sortState>
  <hyperlinks>
    <hyperlink ref="G5" r:id="rId1" xr:uid="{7C74FDC2-EF80-C848-B593-63966022213E}"/>
    <hyperlink ref="B12" r:id="rId2" xr:uid="{0E6A4856-B905-7142-A645-168F07935B6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Topology</vt:lpstr>
      <vt:lpstr>Topology (GUI)</vt:lpstr>
      <vt:lpstr>ModelParameters</vt:lpstr>
      <vt:lpstr>ReservoirParameters</vt:lpstr>
      <vt:lpstr>PolicyParameters</vt:lpstr>
      <vt:lpstr>Runtime comparison</vt:lpstr>
      <vt:lpstr>MinMaxRelease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2022-04-13T09:32:44Z</dcterms:created>
  <dcterms:modified xsi:type="dcterms:W3CDTF">2022-12-12T14:12:31Z</dcterms:modified>
</cp:coreProperties>
</file>